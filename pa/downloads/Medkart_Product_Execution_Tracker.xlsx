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f1de50ebd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_Dashboard" sheetId="1" r:id="Rb1571f9f5d894bc5"/>
    <x:sheet xmlns:r="http://schemas.openxmlformats.org/officeDocument/2006/relationships" name="Roadmap" sheetId="2" r:id="Rb84900d375a74ee0"/>
    <x:sheet xmlns:r="http://schemas.openxmlformats.org/officeDocument/2006/relationships" name="Prioritization" sheetId="3" r:id="Rce3fa1f174b34c8c"/>
    <x:sheet xmlns:r="http://schemas.openxmlformats.org/officeDocument/2006/relationships" name="Sprint_Task_Tracker" sheetId="4" r:id="R6a983bde0b3143a2"/>
    <x:sheet xmlns:r="http://schemas.openxmlformats.org/officeDocument/2006/relationships" name="Dependencies" sheetId="5" r:id="Re1a5bd0a8b844b3a"/>
    <x:sheet xmlns:r="http://schemas.openxmlformats.org/officeDocument/2006/relationships" name="Weekly_Status" sheetId="6" r:id="Re9cf4d69837440c7"/>
    <x:sheet xmlns:r="http://schemas.openxmlformats.org/officeDocument/2006/relationships" name="Read_Me" sheetId="7" r:id="R9a5c71bbf25b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18">
    <x:font>
      <x:sz val="11"/>
      <x:name val="Carlito"/>
    </x:font>
    <x:font>
      <x:b/>
      <x:sz val="19"/>
      <x:color rgb="FFFFFFFF"/>
      <x:name val="Carlito"/>
    </x:font>
    <x:font>
      <x:i/>
      <x:sz val="10"/>
      <x:color rgb="FF1F2933"/>
      <x:name val="Carlito"/>
    </x:font>
    <x:font>
      <x:b/>
      <x:sz val="11"/>
      <x:color rgb="FFFFFFFF"/>
      <x:name val="Carlito"/>
    </x:font>
    <x:font>
      <x:b/>
      <x:sz val="11"/>
      <x:color rgb="FF667085"/>
      <x:name val="Carlito"/>
    </x:font>
    <x:font>
      <x:b/>
      <x:sz val="17"/>
      <x:color rgb="FF0B6F68"/>
      <x:name val="Carlito"/>
    </x:font>
    <x:font>
      <x:sz val="10"/>
      <x:color rgb="FF1F2933"/>
      <x:name val="Carlito"/>
    </x:font>
    <x:font>
      <x:b/>
      <x:sz val="11"/>
      <x:color rgb="FF1F2933"/>
      <x:name val="Carlito"/>
    </x:font>
    <x:font>
      <x:b/>
      <x:sz val="11"/>
      <x:color rgb="FFB42318"/>
      <x:name val="Carlito"/>
    </x:font>
    <x:font>
      <x:b/>
      <x:sz val="19"/>
      <x:color rgb="FFFFFFFF"/>
      <x:name val="Aptos"/>
    </x:font>
    <x:font>
      <x:i/>
      <x:sz val="10"/>
      <x:color rgb="FF1F2933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667085"/>
      <x:name val="Aptos"/>
    </x:font>
    <x:font>
      <x:b/>
      <x:sz val="17"/>
      <x:color rgb="FF0B6F68"/>
      <x:name val="Aptos"/>
    </x:font>
    <x:font>
      <x:sz val="10"/>
      <x:color rgb="FF1F2933"/>
      <x:name val="Aptos"/>
    </x:font>
    <x:font>
      <x:b/>
      <x:sz val="11"/>
      <x:color rgb="FF1F2933"/>
      <x:name val="Aptos"/>
    </x:font>
    <x:font>
      <x:b/>
      <x:sz val="11"/>
      <x:color rgb="FFB4231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B6F68"/>
      </x:patternFill>
    </x:fill>
    <x:fill>
      <x:patternFill patternType="solid">
        <x:fgColor rgb="FFEAF4F2"/>
      </x:patternFill>
    </x:fill>
    <x:fill>
      <x:patternFill patternType="solid">
        <x:fgColor rgb="FF1F2933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FFF2CC"/>
      </x:patternFill>
    </x:fill>
    <x:fill>
      <x:patternFill patternType="solid">
        <x:fgColor rgb="FFE8F1FC"/>
      </x:patternFill>
    </x:fill>
    <x:fill>
      <x:patternFill patternType="solid">
        <x:fgColor rgb="FFE3F3E8"/>
      </x:patternFill>
    </x:fill>
    <x:fill>
      <x:patternFill patternType="solid">
        <x:fgColor rgb="FFFCE8E6"/>
      </x:patternFill>
    </x:fill>
  </x:fills>
  <x:borders count="3">
    <x:border/>
    <x:border>
      <x:bottom style="medium">
        <x:color rgb="FF0B6F68"/>
      </x:bottom>
    </x:border>
    <x:border>
      <x:bottom style="thin">
        <x:color rgb="FFD0D5DD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200" fontId="6" fillId="8" borderId="0" xfId="0" applyNumberFormat="1" applyFont="1" applyFill="1" applyBorder="1" applyAlignment="1">
      <x:alignment vertical="top" wrapText="1"/>
    </x:xf>
    <x:xf numFmtId="200" fontId="6" fillId="8" borderId="2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8" borderId="0" xfId="0" applyNumberFormat="1" applyFont="1" applyFill="1" applyBorder="1"/>
    <x:xf numFmtId="0" fontId="7" fillId="5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/>
    </x:xf>
    <x:xf numFmtId="0" fontId="14" fillId="6" borderId="1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/>
    <x:xf numFmtId="0" fontId="15" fillId="0" borderId="0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8" borderId="2" xfId="0" applyNumberFormat="1" applyFont="1" applyFill="1" applyBorder="1" applyAlignment="1">
      <x:alignment vertical="top" wrapText="1"/>
    </x:xf>
    <x:xf numFmtId="200" fontId="15" fillId="8" borderId="0" xfId="0" applyNumberFormat="1" applyFont="1" applyFill="1" applyBorder="1" applyAlignment="1">
      <x:alignment vertical="top" wrapText="1"/>
    </x:xf>
    <x:xf numFmtId="201" fontId="15" fillId="0" borderId="0" xfId="0" applyNumberFormat="1" applyFont="1" applyFill="1" applyBorder="1" applyAlignment="1">
      <x:alignment vertical="top" wrapText="1"/>
    </x:xf>
    <x:xf numFmtId="200" fontId="15" fillId="8" borderId="2" xfId="0" applyNumberFormat="1" applyFont="1" applyFill="1" applyBorder="1" applyAlignment="1">
      <x:alignment vertical="top" wrapText="1"/>
    </x:xf>
    <x:xf numFmtId="201" fontId="15" fillId="0" borderId="2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/>
    <x:xf numFmtId="0" fontId="16" fillId="5" borderId="0" xfId="0" applyNumberFormat="1" applyFont="1" applyFill="1" applyBorder="1"/>
    <x:xf numFmtId="0" fontId="11" fillId="8" borderId="0" xfId="0" applyNumberFormat="1" applyFont="1" applyFill="1" applyBorder="1"/>
    <x:xf numFmtId="0" fontId="15" fillId="10" borderId="0" xfId="0" applyNumberFormat="1" applyFont="1" applyFill="1" applyBorder="1" applyAlignment="1">
      <x:alignment vertical="top" wrapText="1"/>
    </x:xf>
    <x:xf numFmtId="0" fontId="15" fillId="9" borderId="0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5" fillId="5" borderId="0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E3F3E8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3F3E8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3F3E8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eb5d242244ab2" /><Relationship Type="http://schemas.openxmlformats.org/officeDocument/2006/relationships/theme" Target="/xl/theme/theme1.xml" Id="R2eaeac84cbca4a11" /><Relationship Type="http://schemas.openxmlformats.org/officeDocument/2006/relationships/sharedStrings" Target="/xl/sharedStrings.xml" Id="Re8f4f387669542ad" /><Relationship Type="http://schemas.openxmlformats.org/officeDocument/2006/relationships/worksheet" Target="/xl/worksheets/sheet1.xml" Id="Rb1571f9f5d894bc5" /><Relationship Type="http://schemas.openxmlformats.org/officeDocument/2006/relationships/worksheet" Target="/xl/worksheets/sheet2.xml" Id="Rb84900d375a74ee0" /><Relationship Type="http://schemas.openxmlformats.org/officeDocument/2006/relationships/worksheet" Target="/xl/worksheets/sheet3.xml" Id="Rce3fa1f174b34c8c" /><Relationship Type="http://schemas.openxmlformats.org/officeDocument/2006/relationships/worksheet" Target="/xl/worksheets/sheet4.xml" Id="R6a983bde0b3143a2" /><Relationship Type="http://schemas.openxmlformats.org/officeDocument/2006/relationships/worksheet" Target="/xl/worksheets/sheet5.xml" Id="Re1a5bd0a8b844b3a" /><Relationship Type="http://schemas.openxmlformats.org/officeDocument/2006/relationships/worksheet" Target="/xl/worksheets/sheet6.xml" Id="Re9cf4d69837440c7" /><Relationship Type="http://schemas.openxmlformats.org/officeDocument/2006/relationships/worksheet" Target="/xl/worksheets/sheet7.xml" Id="R9a5c71bbf25b4f0d" /></Relationships>
</file>

<file path=xl/tables/table1.xml><?xml version="1.0" encoding="utf-8"?>
<x:table xmlns:x="http://schemas.openxmlformats.org/spreadsheetml/2006/main" id="1" name="RoadmapTable" displayName="RoadmapTable" ref="A5:K25" headerRowCount="1" totalsRowCount="0" totalsRowShown="0">
  <x:tableColumns count="11">
    <x:tableColumn id="1" name="ID"/>
    <x:tableColumn id="2" name="Phase"/>
    <x:tableColumn id="3" name="Outcome / Workstream"/>
    <x:tableColumn id="4" name="Priority"/>
    <x:tableColumn id="5" name="Owner"/>
    <x:tableColumn id="6" name="Start"/>
    <x:tableColumn id="7" name="End"/>
    <x:tableColumn id="8" name="Status"/>
    <x:tableColumn id="9" name="Depends On"/>
    <x:tableColumn id="10" name="Deliverable"/>
    <x:tableColumn id="11" name="Assumption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izationTable" displayName="PrioritizationTable" ref="A5:K16" headerRowCount="1" totalsRowCount="0" totalsRowShown="0">
  <x:tableColumns count="11">
    <x:tableColumn id="1" name="ID"/>
    <x:tableColumn id="2" name="Capability"/>
    <x:tableColumn id="3" name="Theme"/>
    <x:tableColumn id="4" name="User / Business Value"/>
    <x:tableColumn id="5" name="Reach"/>
    <x:tableColumn id="6" name="Impact"/>
    <x:tableColumn id="7" name="Confidence"/>
    <x:tableColumn id="8" name="Effort"/>
    <x:tableColumn id="9" name="RICE Score"/>
    <x:tableColumn id="10" name="MoSCoW"/>
    <x:tableColumn id="11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TasksTable" displayName="SprintTasksTable" ref="A5:L25" headerRowCount="1" totalsRowCount="0" totalsRowShown="0">
  <x:tableColumns count="12">
    <x:tableColumn id="1" name="Task ID"/>
    <x:tableColumn id="2" name="Roadmap ID"/>
    <x:tableColumn id="3" name="Task"/>
    <x:tableColumn id="4" name="Workstream"/>
    <x:tableColumn id="5" name="Owner"/>
    <x:tableColumn id="6" name="Priority"/>
    <x:tableColumn id="7" name="Sprint"/>
    <x:tableColumn id="8" name="Status"/>
    <x:tableColumn id="9" name="Progress"/>
    <x:tableColumn id="10" name="Depends On"/>
    <x:tableColumn id="11" name="Evidence / Output"/>
    <x:tableColumn id="12" name="Definition of Done /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endenciesTable" displayName="DependenciesTable" ref="A5:I14" headerRowCount="1" totalsRowCount="0" totalsRowShown="0">
  <x:tableColumns count="9">
    <x:tableColumn id="1" name="ID"/>
    <x:tableColumn id="2" name="Dependency / Risk"/>
    <x:tableColumn id="3" name="Owner"/>
    <x:tableColumn id="4" name="Linked Roadmap"/>
    <x:tableColumn id="5" name="Need By"/>
    <x:tableColumn id="6" name="Status"/>
    <x:tableColumn id="7" name="Priority"/>
    <x:tableColumn id="8" name="Mitigation / Fallback"/>
    <x:tableColumn id="9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9cdf249031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82cc7eb954c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32f480a68d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d7e54f87a040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</x:cols>
  <x:sheetData>
    <x:row r="1" ht="33" customHeight="1">
      <x:c r="A1" s="54" t="str">
        <x:v>Medkart Savings Journey — Execution Dashboard</x:v>
      </x:c>
      <x:c r="B1" s="54" t="str">
        <x:v>Medkart Savings Journey — Execution Dashboard</x:v>
      </x:c>
      <x:c r="C1" s="54" t="str">
        <x:v>Medkart Savings Journey — Execution Dashboard</x:v>
      </x:c>
      <x:c r="D1" s="54" t="str">
        <x:v>Medkart Savings Journey — Execution Dashboard</x:v>
      </x:c>
      <x:c r="E1" s="54" t="str">
        <x:v>Medkart Savings Journey — Execution Dashboard</x:v>
      </x:c>
      <x:c r="F1" s="54" t="str">
        <x:v>Medkart Savings Journey — Execution Dashboard</x:v>
      </x:c>
      <x:c r="G1" s="54" t="str">
        <x:v>Medkart Savings Journey — Execution Dashboard</x:v>
      </x:c>
      <x:c r="H1" s="54" t="str">
        <x:v>Medkart Savings Journey — Execution Dashboard</x:v>
      </x:c>
      <x:c r="I1" s="54" t="str">
        <x:v>Medkart Savings Journey — Execution Dashboard</x:v>
      </x:c>
    </x:row>
    <x:row r="2" ht="27" customHeight="1">
      <x:c r="A2" s="55" t="str">
        <x:v>Proposed delivery plan • editable portfolio artifact • not Medkart’s actual roadmap or commitments</x:v>
      </x:c>
      <x:c r="B2" s="55" t="str">
        <x:v>Proposed delivery plan • editable portfolio artifact • not Medkart’s actual roadmap or commitments</x:v>
      </x:c>
      <x:c r="C2" s="55" t="str">
        <x:v>Proposed delivery plan • editable portfolio artifact • not Medkart’s actual roadmap or commitments</x:v>
      </x:c>
      <x:c r="D2" s="55" t="str">
        <x:v>Proposed delivery plan • editable portfolio artifact • not Medkart’s actual roadmap or commitments</x:v>
      </x:c>
      <x:c r="E2" s="55" t="str">
        <x:v>Proposed delivery plan • editable portfolio artifact • not Medkart’s actual roadmap or commitments</x:v>
      </x:c>
      <x:c r="F2" s="55" t="str">
        <x:v>Proposed delivery plan • editable portfolio artifact • not Medkart’s actual roadmap or commitments</x:v>
      </x:c>
      <x:c r="G2" s="55" t="str">
        <x:v>Proposed delivery plan • editable portfolio artifact • not Medkart’s actual roadmap or commitments</x:v>
      </x:c>
      <x:c r="H2" s="55" t="str">
        <x:v>Proposed delivery plan • editable portfolio artifact • not Medkart’s actual roadmap or commitments</x:v>
      </x:c>
      <x:c r="I2" s="55" t="str">
        <x:v>Proposed delivery plan • editable portfolio artifact • not Medkart’s actual roadmap or commitments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0" customHeight="1">
      <x:c r="A4" s="56"/>
      <x:c r="B4" s="57" t="str">
        <x:v>Portfolio delivery view</x:v>
      </x:c>
      <x:c r="C4" s="57" t="str">
        <x:v>Portfolio delivery view</x:v>
      </x:c>
      <x:c r="D4" s="57" t="str">
        <x:v>Portfolio delivery view</x:v>
      </x:c>
      <x:c r="E4" s="57" t="str">
        <x:v>Portfolio delivery view</x:v>
      </x:c>
      <x:c r="F4" s="57" t="str">
        <x:v>Portfolio delivery view</x:v>
      </x:c>
      <x:c r="G4" s="57" t="str">
        <x:v>Portfolio delivery view</x:v>
      </x:c>
      <x:c r="H4" s="57" t="str">
        <x:v>Portfolio delivery view</x:v>
      </x:c>
      <x:c r="I4" s="56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</x:row>
    <x:row r="6">
      <x:c r="A6" s="56"/>
      <x:c r="B6" s="58" t="str">
        <x:v>Roadmap items</x:v>
      </x:c>
      <x:c r="C6" s="58" t="str">
        <x:v>Roadmap items</x:v>
      </x:c>
      <x:c r="D6" s="58" t="str">
        <x:v>Completed</x:v>
      </x:c>
      <x:c r="E6" s="58" t="str">
        <x:v>Completed</x:v>
      </x:c>
      <x:c r="F6" s="58" t="str">
        <x:v>Planned</x:v>
      </x:c>
      <x:c r="G6" s="58" t="str">
        <x:v>Planned</x:v>
      </x:c>
      <x:c r="H6" s="56"/>
      <x:c r="I6" s="56"/>
    </x:row>
    <x:row r="7">
      <x:c r="A7" s="56"/>
      <x:c r="B7" s="59" t="n">
        <x:f>COUNTA(Roadmap!A6:A105)</x:f>
        <x:v>20</x:v>
      </x:c>
      <x:c r="C7" s="59"/>
      <x:c r="D7" s="59" t="n">
        <x:f>COUNTIF(Roadmap!H6:H105,"Complete")</x:f>
        <x:v>1</x:v>
      </x:c>
      <x:c r="E7" s="59"/>
      <x:c r="F7" s="59" t="n">
        <x:f>COUNTIF(Roadmap!H6:H105,"Planned")</x:f>
        <x:v>19</x:v>
      </x:c>
      <x:c r="G7" s="59"/>
      <x:c r="H7" s="56"/>
      <x:c r="I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</x:row>
    <x:row r="9">
      <x:c r="A9" s="56"/>
      <x:c r="B9" s="58" t="str">
        <x:v>Tasks</x:v>
      </x:c>
      <x:c r="C9" s="58" t="str">
        <x:v>Tasks</x:v>
      </x:c>
      <x:c r="D9" s="58" t="str">
        <x:v>Blocked tasks</x:v>
      </x:c>
      <x:c r="E9" s="58" t="str">
        <x:v>Blocked tasks</x:v>
      </x:c>
      <x:c r="F9" s="58" t="str">
        <x:v>Open P0 dependencies</x:v>
      </x:c>
      <x:c r="G9" s="58" t="str">
        <x:v>Open P0 dependencies</x:v>
      </x:c>
      <x:c r="H9" s="56"/>
      <x:c r="I9" s="56"/>
    </x:row>
    <x:row r="10">
      <x:c r="A10" s="56"/>
      <x:c r="B10" s="59" t="n">
        <x:f>COUNTA(Sprint_Task_Tracker!A6:A205)</x:f>
        <x:v>20</x:v>
      </x:c>
      <x:c r="C10" s="59"/>
      <x:c r="D10" s="59" t="n">
        <x:f>COUNTIF(Sprint_Task_Tracker!H6:H205,"Blocked")</x:f>
        <x:v>0</x:v>
      </x:c>
      <x:c r="E10" s="59"/>
      <x:c r="F10" s="59" t="n">
        <x:f>COUNTIFS(Dependencies!F6:F105,"&lt;&gt;Resolved",Dependencies!G6:G105,"P0")</x:f>
        <x:v>5</x:v>
      </x:c>
      <x:c r="G10" s="59"/>
      <x:c r="H10" s="56"/>
      <x:c r="I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</x:row>
    <x:row r="12">
      <x:c r="A12" s="56"/>
      <x:c r="B12" s="58" t="str">
        <x:v>Must-haves</x:v>
      </x:c>
      <x:c r="C12" s="58" t="str">
        <x:v>Must-haves</x:v>
      </x:c>
      <x:c r="D12" s="58" t="str">
        <x:v>Release gate</x:v>
      </x:c>
      <x:c r="E12" s="58" t="str">
        <x:v>Release gate</x:v>
      </x:c>
      <x:c r="F12" s="56"/>
      <x:c r="G12" s="56"/>
      <x:c r="H12" s="56"/>
      <x:c r="I12" s="56"/>
    </x:row>
    <x:row r="13">
      <x:c r="A13" s="56"/>
      <x:c r="B13" s="59" t="n">
        <x:f>COUNTIF(Prioritization!J6:J105,"Must have")</x:f>
        <x:v>5</x:v>
      </x:c>
      <x:c r="C13" s="59"/>
      <x:c r="D13" s="59" t="str">
        <x:f>IF(OR(COUNTIF(Sprint_Task_Tracker!H6:H205,"Blocked")&gt;0,COUNTIFS(Dependencies!F6:F105,"&lt;&gt;Resolved",Dependencies!G6:G105,"P0")&gt;0),"NOT READY","READY FOR REVIEW")</x:f>
        <x:v>NOT READY</x:v>
      </x:c>
      <x:c r="E13" s="59"/>
      <x:c r="F13" s="56"/>
      <x:c r="G13" s="56"/>
      <x:c r="H13" s="56"/>
      <x:c r="I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</x:row>
    <x:row r="16" ht="30" customHeight="1">
      <x:c r="A16" s="56"/>
      <x:c r="B16" s="57" t="str">
        <x:v>How this demonstrates Product Associate execution</x:v>
      </x:c>
      <x:c r="C16" s="57" t="str">
        <x:v>How this demonstrates Product Associate execution</x:v>
      </x:c>
      <x:c r="D16" s="57" t="str">
        <x:v>How this demonstrates Product Associate execution</x:v>
      </x:c>
      <x:c r="E16" s="57" t="str">
        <x:v>How this demonstrates Product Associate execution</x:v>
      </x:c>
      <x:c r="F16" s="57" t="str">
        <x:v>How this demonstrates Product Associate execution</x:v>
      </x:c>
      <x:c r="G16" s="57" t="str">
        <x:v>How this demonstrates Product Associate execution</x:v>
      </x:c>
      <x:c r="H16" s="57" t="str">
        <x:v>How this demonstrates Product Associate execution</x:v>
      </x:c>
      <x:c r="I16" s="56"/>
    </x:row>
    <x:row r="17">
      <x:c r="A17" s="56"/>
      <x:c r="B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17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17" s="56"/>
    </x:row>
    <x:row r="18">
      <x:c r="A18" s="56"/>
      <x:c r="B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18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18" s="56"/>
    </x:row>
    <x:row r="19">
      <x:c r="A19" s="56"/>
      <x:c r="B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19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19" s="56"/>
    </x:row>
    <x:row r="20">
      <x:c r="A20" s="56"/>
      <x:c r="B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20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20" s="56"/>
    </x:row>
    <x:row r="21">
      <x:c r="A21" s="56"/>
      <x:c r="B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21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21" s="56"/>
    </x:row>
    <x:row r="22">
      <x:c r="A22" s="56"/>
      <x:c r="B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C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D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E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F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G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H22" s="60" t="str">
        <x:v>• Roadmap turns discovery into an ordered pilot plan.
• Prioritization makes scope trade-offs transparent through editable RICE inputs and MoSCoW decisions.
• Sprint tracker provides ownership, dependencies, evidence and status.
• Dependency register surfaces what can block safe delivery.
• Weekly status template turns execution into concise stakeholder communication.
All dates, scores, owners and states are proposed examples until validated with Medkart.</x:v>
      </x:c>
      <x:c r="I22" s="56"/>
    </x:row>
  </x:sheetData>
  <x:mergeCells>
    <x:mergeCell ref="A1:I1"/>
    <x:mergeCell ref="A2:I2"/>
    <x:mergeCell ref="B4:H4"/>
    <x:mergeCell ref="B6:C6"/>
    <x:mergeCell ref="B7:C7"/>
    <x:mergeCell ref="D6:E6"/>
    <x:mergeCell ref="D7:E7"/>
    <x:mergeCell ref="F6:G6"/>
    <x:mergeCell ref="F7:G7"/>
    <x:mergeCell ref="B9:C9"/>
    <x:mergeCell ref="B10:C10"/>
    <x:mergeCell ref="D9:E9"/>
    <x:mergeCell ref="D10:E10"/>
    <x:mergeCell ref="F9:G9"/>
    <x:mergeCell ref="F10:G10"/>
    <x:mergeCell ref="B12:C12"/>
    <x:mergeCell ref="B13:C13"/>
    <x:mergeCell ref="D12:E12"/>
    <x:mergeCell ref="D13:E13"/>
    <x:mergeCell ref="B16:H16"/>
    <x:mergeCell ref="B17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42" hidden="0" customWidth="1"/>
    <x:col min="4" max="4" width="9" hidden="0" customWidth="1"/>
    <x:col min="5" max="5" width="23" hidden="0" customWidth="1"/>
    <x:col min="6" max="6" width="9" hidden="0" customWidth="1"/>
    <x:col min="7" max="7" width="9" hidden="0" customWidth="1"/>
    <x:col min="8" max="8" width="16" hidden="0" customWidth="1"/>
    <x:col min="9" max="9" width="24" hidden="0" customWidth="1"/>
    <x:col min="10" max="10" width="24" hidden="0" customWidth="1"/>
    <x:col min="11" max="11" width="39" hidden="0" customWidth="1"/>
  </x:cols>
  <x:sheetData>
    <x:row r="1" ht="33" customHeight="1">
      <x:c r="A1" s="54" t="str">
        <x:v>Proposed MVP Roadmap</x:v>
      </x:c>
      <x:c r="B1" s="54" t="str">
        <x:v>Proposed MVP Roadmap</x:v>
      </x:c>
      <x:c r="C1" s="54" t="str">
        <x:v>Proposed MVP Roadmap</x:v>
      </x:c>
      <x:c r="D1" s="54" t="str">
        <x:v>Proposed MVP Roadmap</x:v>
      </x:c>
      <x:c r="E1" s="54" t="str">
        <x:v>Proposed MVP Roadmap</x:v>
      </x:c>
      <x:c r="F1" s="54" t="str">
        <x:v>Proposed MVP Roadmap</x:v>
      </x:c>
      <x:c r="G1" s="54" t="str">
        <x:v>Proposed MVP Roadmap</x:v>
      </x:c>
      <x:c r="H1" s="54" t="str">
        <x:v>Proposed MVP Roadmap</x:v>
      </x:c>
      <x:c r="I1" s="54" t="str">
        <x:v>Proposed MVP Roadmap</x:v>
      </x:c>
      <x:c r="J1" s="54" t="str">
        <x:v>Proposed MVP Roadmap</x:v>
      </x:c>
      <x:c r="K1" s="54" t="str">
        <x:v>Proposed MVP Roadmap</x:v>
      </x:c>
    </x:row>
    <x:row r="2" ht="27" customHeight="1">
      <x:c r="A2" s="55" t="str">
        <x:v>Nine-week discovery-to-pilot sequence • timing and ownership are illustrative</x:v>
      </x:c>
      <x:c r="B2" s="55" t="str">
        <x:v>Nine-week discovery-to-pilot sequence • timing and ownership are illustrative</x:v>
      </x:c>
      <x:c r="C2" s="55" t="str">
        <x:v>Nine-week discovery-to-pilot sequence • timing and ownership are illustrative</x:v>
      </x:c>
      <x:c r="D2" s="55" t="str">
        <x:v>Nine-week discovery-to-pilot sequence • timing and ownership are illustrative</x:v>
      </x:c>
      <x:c r="E2" s="55" t="str">
        <x:v>Nine-week discovery-to-pilot sequence • timing and ownership are illustrative</x:v>
      </x:c>
      <x:c r="F2" s="55" t="str">
        <x:v>Nine-week discovery-to-pilot sequence • timing and ownership are illustrative</x:v>
      </x:c>
      <x:c r="G2" s="55" t="str">
        <x:v>Nine-week discovery-to-pilot sequence • timing and ownership are illustrative</x:v>
      </x:c>
      <x:c r="H2" s="55" t="str">
        <x:v>Nine-week discovery-to-pilot sequence • timing and ownership are illustrative</x:v>
      </x:c>
      <x:c r="I2" s="55" t="str">
        <x:v>Nine-week discovery-to-pilot sequence • timing and ownership are illustrative</x:v>
      </x:c>
      <x:c r="J2" s="55" t="str">
        <x:v>Nine-week discovery-to-pilot sequence • timing and ownership are illustrative</x:v>
      </x:c>
      <x:c r="K2" s="55" t="str">
        <x:v>Nine-week discovery-to-pilot sequence • timing and ownership are illustrative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61" t="str">
        <x:v>Use this as a conversation artifact: dependencies and safety gates matter more than pretending the dates are committed.</x:v>
      </x:c>
      <x:c r="B4" s="61" t="str">
        <x:v>Use this as a conversation artifact: dependencies and safety gates matter more than pretending the dates are committed.</x:v>
      </x:c>
      <x:c r="C4" s="61" t="str">
        <x:v>Use this as a conversation artifact: dependencies and safety gates matter more than pretending the dates are committed.</x:v>
      </x:c>
      <x:c r="D4" s="61" t="str">
        <x:v>Use this as a conversation artifact: dependencies and safety gates matter more than pretending the dates are committed.</x:v>
      </x:c>
      <x:c r="E4" s="61" t="str">
        <x:v>Use this as a conversation artifact: dependencies and safety gates matter more than pretending the dates are committed.</x:v>
      </x:c>
      <x:c r="F4" s="61" t="str">
        <x:v>Use this as a conversation artifact: dependencies and safety gates matter more than pretending the dates are committed.</x:v>
      </x:c>
      <x:c r="G4" s="61" t="str">
        <x:v>Use this as a conversation artifact: dependencies and safety gates matter more than pretending the dates are committed.</x:v>
      </x:c>
      <x:c r="H4" s="61" t="str">
        <x:v>Use this as a conversation artifact: dependencies and safety gates matter more than pretending the dates are committed.</x:v>
      </x:c>
      <x:c r="I4" s="61" t="str">
        <x:v>Use this as a conversation artifact: dependencies and safety gates matter more than pretending the dates are committed.</x:v>
      </x:c>
      <x:c r="J4" s="61" t="str">
        <x:v>Use this as a conversation artifact: dependencies and safety gates matter more than pretending the dates are committed.</x:v>
      </x:c>
      <x:c r="K4" s="61" t="str">
        <x:v>Use this as a conversation artifact: dependencies and safety gates matter more than pretending the dates are committed.</x:v>
      </x:c>
    </x:row>
    <x:row r="5" ht="30" customHeight="1">
      <x:c r="A5" s="57" t="str">
        <x:v>ID</x:v>
      </x:c>
      <x:c r="B5" s="57" t="str">
        <x:v>Phase</x:v>
      </x:c>
      <x:c r="C5" s="57" t="str">
        <x:v>Outcome / Workstream</x:v>
      </x:c>
      <x:c r="D5" s="57" t="str">
        <x:v>Priority</x:v>
      </x:c>
      <x:c r="E5" s="57" t="str">
        <x:v>Owner</x:v>
      </x:c>
      <x:c r="F5" s="57" t="str">
        <x:v>Start</x:v>
      </x:c>
      <x:c r="G5" s="57" t="str">
        <x:v>End</x:v>
      </x:c>
      <x:c r="H5" s="57" t="str">
        <x:v>Status</x:v>
      </x:c>
      <x:c r="I5" s="57" t="str">
        <x:v>Depends On</x:v>
      </x:c>
      <x:c r="J5" s="57" t="str">
        <x:v>Deliverable</x:v>
      </x:c>
      <x:c r="K5" s="57" t="str">
        <x:v>Assumption / Note</x:v>
      </x:c>
    </x:row>
    <x:row r="6">
      <x:c r="A6" s="62" t="str">
        <x:v>RM-01</x:v>
      </x:c>
      <x:c r="B6" s="62" t="str">
        <x:v>Discovery</x:v>
      </x:c>
      <x:c r="C6" s="62" t="str">
        <x:v>Confirm current store workflow and source-of-truth boundaries</x:v>
      </x:c>
      <x:c r="D6" s="62" t="str">
        <x:v>P0</x:v>
      </x:c>
      <x:c r="E6" s="63" t="str">
        <x:v>Product</x:v>
      </x:c>
      <x:c r="F6" s="63" t="str">
        <x:v>W1</x:v>
      </x:c>
      <x:c r="G6" s="63" t="str">
        <x:v>W1</x:v>
      </x:c>
      <x:c r="H6" s="63" t="str">
        <x:v>Complete</x:v>
      </x:c>
      <x:c r="I6" s="63" t="str"/>
      <x:c r="J6" s="63" t="str">
        <x:v>Discovery brief</x:v>
      </x:c>
      <x:c r="K6" s="63" t="str">
        <x:v>Candidate research complete; internal validation pending.</x:v>
      </x:c>
    </x:row>
    <x:row r="7">
      <x:c r="A7" s="62" t="str">
        <x:v>RM-02</x:v>
      </x:c>
      <x:c r="B7" s="62" t="str">
        <x:v>Discovery</x:v>
      </x:c>
      <x:c r="C7" s="62" t="str">
        <x:v>Validate customer need and comprehension with concept interviews</x:v>
      </x:c>
      <x:c r="D7" s="62" t="str">
        <x:v>P0</x:v>
      </x:c>
      <x:c r="E7" s="63" t="str">
        <x:v>Product Research</x:v>
      </x:c>
      <x:c r="F7" s="63" t="str">
        <x:v>W1</x:v>
      </x:c>
      <x:c r="G7" s="63" t="str">
        <x:v>W2</x:v>
      </x:c>
      <x:c r="H7" s="63" t="str">
        <x:v>Planned</x:v>
      </x:c>
      <x:c r="I7" s="63" t="str">
        <x:v>RM-01</x:v>
      </x:c>
      <x:c r="J7" s="63" t="str">
        <x:v>Research synthesis</x:v>
      </x:c>
      <x:c r="K7" s="63" t="str">
        <x:v>Use 5–7 target participants; no production claims.</x:v>
      </x:c>
    </x:row>
    <x:row r="8">
      <x:c r="A8" s="62" t="str">
        <x:v>RM-03</x:v>
      </x:c>
      <x:c r="B8" s="62" t="str">
        <x:v>Definition</x:v>
      </x:c>
      <x:c r="C8" s="62" t="str">
        <x:v>Approve MVP scope and explicit exclusions</x:v>
      </x:c>
      <x:c r="D8" s="62" t="str">
        <x:v>P0</x:v>
      </x:c>
      <x:c r="E8" s="63" t="str">
        <x:v>Product Manager</x:v>
      </x:c>
      <x:c r="F8" s="63" t="str">
        <x:v>W2</x:v>
      </x:c>
      <x:c r="G8" s="63" t="str">
        <x:v>W2</x:v>
      </x:c>
      <x:c r="H8" s="63" t="str">
        <x:v>Planned</x:v>
      </x:c>
      <x:c r="I8" s="63" t="str">
        <x:v>RM-01, RM-02</x:v>
      </x:c>
      <x:c r="J8" s="63" t="str">
        <x:v>Signed PRD</x:v>
      </x:c>
      <x:c r="K8" s="63" t="str">
        <x:v>History, invoice, savings, correction only.</x:v>
      </x:c>
    </x:row>
    <x:row r="9">
      <x:c r="A9" s="62" t="str">
        <x:v>RM-04</x:v>
      </x:c>
      <x:c r="B9" s="62" t="str">
        <x:v>Definition</x:v>
      </x:c>
      <x:c r="C9" s="62" t="str">
        <x:v>Approve identity and fail-closed matching rules</x:v>
      </x:c>
      <x:c r="D9" s="62" t="str">
        <x:v>P0</x:v>
      </x:c>
      <x:c r="E9" s="63" t="str">
        <x:v>Security/Privacy</x:v>
      </x:c>
      <x:c r="F9" s="63" t="str">
        <x:v>W2</x:v>
      </x:c>
      <x:c r="G9" s="63" t="str">
        <x:v>W3</x:v>
      </x:c>
      <x:c r="H9" s="63" t="str">
        <x:v>Planned</x:v>
      </x:c>
      <x:c r="I9" s="63" t="str">
        <x:v>RM-03</x:v>
      </x:c>
      <x:c r="J9" s="63" t="str">
        <x:v>Decision record</x:v>
      </x:c>
      <x:c r="K9" s="63" t="str">
        <x:v>Shared/recycled phone risk addressed.</x:v>
      </x:c>
    </x:row>
    <x:row r="10">
      <x:c r="A10" s="62" t="str">
        <x:v>RM-05</x:v>
      </x:c>
      <x:c r="B10" s="62" t="str">
        <x:v>Definition</x:v>
      </x:c>
      <x:c r="C10" s="62" t="str">
        <x:v>Approve savings comparator and method</x:v>
      </x:c>
      <x:c r="D10" s="62" t="str">
        <x:v>P0</x:v>
      </x:c>
      <x:c r="E10" s="63" t="str">
        <x:v>Product + Data</x:v>
      </x:c>
      <x:c r="F10" s="63" t="str">
        <x:v>W2</x:v>
      </x:c>
      <x:c r="G10" s="63" t="str">
        <x:v>W3</x:v>
      </x:c>
      <x:c r="H10" s="63" t="str">
        <x:v>Planned</x:v>
      </x:c>
      <x:c r="I10" s="63" t="str">
        <x:v>RM-03</x:v>
      </x:c>
      <x:c r="J10" s="63" t="str">
        <x:v>Method note</x:v>
      </x:c>
      <x:c r="K10" s="63" t="str">
        <x:v>Suppress savings when method unavailable.</x:v>
      </x:c>
    </x:row>
    <x:row r="11">
      <x:c r="A11" s="62" t="str">
        <x:v>RM-06</x:v>
      </x:c>
      <x:c r="B11" s="62" t="str">
        <x:v>Design</x:v>
      </x:c>
      <x:c r="C11" s="62" t="str">
        <x:v>Finalize six MVP screens and all states</x:v>
      </x:c>
      <x:c r="D11" s="62" t="str">
        <x:v>P1</x:v>
      </x:c>
      <x:c r="E11" s="63" t="str">
        <x:v>Design</x:v>
      </x:c>
      <x:c r="F11" s="63" t="str">
        <x:v>W3</x:v>
      </x:c>
      <x:c r="G11" s="63" t="str">
        <x:v>W4</x:v>
      </x:c>
      <x:c r="H11" s="63" t="str">
        <x:v>Planned</x:v>
      </x:c>
      <x:c r="I11" s="63" t="str">
        <x:v>RM-03, RM-04, RM-05</x:v>
      </x:c>
      <x:c r="J11" s="63" t="str">
        <x:v>Design handoff</x:v>
      </x:c>
      <x:c r="K11" s="63" t="str">
        <x:v>Include error, restricted and unavailable states.</x:v>
      </x:c>
    </x:row>
    <x:row r="12">
      <x:c r="A12" s="62" t="str">
        <x:v>RM-07</x:v>
      </x:c>
      <x:c r="B12" s="62" t="str">
        <x:v>Engineering</x:v>
      </x:c>
      <x:c r="C12" s="62" t="str">
        <x:v>Define transaction event and idempotency contract</x:v>
      </x:c>
      <x:c r="D12" s="62" t="str">
        <x:v>P0</x:v>
      </x:c>
      <x:c r="E12" s="63" t="str">
        <x:v>Engineering</x:v>
      </x:c>
      <x:c r="F12" s="63" t="str">
        <x:v>W3</x:v>
      </x:c>
      <x:c r="G12" s="63" t="str">
        <x:v>W4</x:v>
      </x:c>
      <x:c r="H12" s="63" t="str">
        <x:v>Planned</x:v>
      </x:c>
      <x:c r="I12" s="63" t="str">
        <x:v>RM-03</x:v>
      </x:c>
      <x:c r="J12" s="63" t="str">
        <x:v>API/event contract</x:v>
      </x:c>
      <x:c r="K12" s="63" t="str">
        <x:v>Checkout remains independent.</x:v>
      </x:c>
    </x:row>
    <x:row r="13">
      <x:c r="A13" s="62" t="str">
        <x:v>RM-08</x:v>
      </x:c>
      <x:c r="B13" s="62" t="str">
        <x:v>Engineering</x:v>
      </x:c>
      <x:c r="C13" s="62" t="str">
        <x:v>Build account-linking service with protected unmatched state</x:v>
      </x:c>
      <x:c r="D13" s="62" t="str">
        <x:v>P0</x:v>
      </x:c>
      <x:c r="E13" s="63" t="str">
        <x:v>Engineering</x:v>
      </x:c>
      <x:c r="F13" s="63" t="str">
        <x:v>W4</x:v>
      </x:c>
      <x:c r="G13" s="63" t="str">
        <x:v>W6</x:v>
      </x:c>
      <x:c r="H13" s="63" t="str">
        <x:v>Planned</x:v>
      </x:c>
      <x:c r="I13" s="63" t="str">
        <x:v>RM-04, RM-07</x:v>
      </x:c>
      <x:c r="J13" s="63" t="str">
        <x:v>Staging build</x:v>
      </x:c>
      <x:c r="K13" s="63" t="str">
        <x:v>No detail on ambiguous match.</x:v>
      </x:c>
    </x:row>
    <x:row r="14">
      <x:c r="A14" s="62" t="str">
        <x:v>RM-09</x:v>
      </x:c>
      <x:c r="B14" s="62" t="str">
        <x:v>Engineering</x:v>
      </x:c>
      <x:c r="C14" s="62" t="str">
        <x:v>Build purchase history and detail APIs/UI</x:v>
      </x:c>
      <x:c r="D14" s="62" t="str">
        <x:v>P0</x:v>
      </x:c>
      <x:c r="E14" s="63" t="str">
        <x:v>Engineering</x:v>
      </x:c>
      <x:c r="F14" s="63" t="str">
        <x:v>W4</x:v>
      </x:c>
      <x:c r="G14" s="63" t="str">
        <x:v>W6</x:v>
      </x:c>
      <x:c r="H14" s="63" t="str">
        <x:v>Planned</x:v>
      </x:c>
      <x:c r="I14" s="63" t="str">
        <x:v>RM-06, RM-07</x:v>
      </x:c>
      <x:c r="J14" s="63" t="str">
        <x:v>Staging build</x:v>
      </x:c>
      <x:c r="K14" s="63" t="str">
        <x:v>Authorization at every endpoint.</x:v>
      </x:c>
    </x:row>
    <x:row r="15">
      <x:c r="A15" s="62" t="str">
        <x:v>RM-10</x:v>
      </x:c>
      <x:c r="B15" s="62" t="str">
        <x:v>Engineering</x:v>
      </x:c>
      <x:c r="C15" s="62" t="str">
        <x:v>Integrate secured digital invoice</x:v>
      </x:c>
      <x:c r="D15" s="62" t="str">
        <x:v>P1</x:v>
      </x:c>
      <x:c r="E15" s="63" t="str">
        <x:v>Engineering</x:v>
      </x:c>
      <x:c r="F15" s="63" t="str">
        <x:v>W5</x:v>
      </x:c>
      <x:c r="G15" s="63" t="str">
        <x:v>W6</x:v>
      </x:c>
      <x:c r="H15" s="63" t="str">
        <x:v>Planned</x:v>
      </x:c>
      <x:c r="I15" s="63" t="str">
        <x:v>RM-06, RM-09</x:v>
      </x:c>
      <x:c r="J15" s="63" t="str">
        <x:v>Staging build</x:v>
      </x:c>
      <x:c r="K15" s="63" t="str">
        <x:v>Retry and support state required.</x:v>
      </x:c>
    </x:row>
    <x:row r="16">
      <x:c r="A16" s="62" t="str">
        <x:v>RM-11</x:v>
      </x:c>
      <x:c r="B16" s="62" t="str">
        <x:v>Engineering</x:v>
      </x:c>
      <x:c r="C16" s="62" t="str">
        <x:v>Implement approved savings explanation</x:v>
      </x:c>
      <x:c r="D16" s="62" t="str">
        <x:v>P0</x:v>
      </x:c>
      <x:c r="E16" s="63" t="str">
        <x:v>Engineering + Data</x:v>
      </x:c>
      <x:c r="F16" s="63" t="str">
        <x:v>W5</x:v>
      </x:c>
      <x:c r="G16" s="63" t="str">
        <x:v>W6</x:v>
      </x:c>
      <x:c r="H16" s="63" t="str">
        <x:v>Planned</x:v>
      </x:c>
      <x:c r="I16" s="63" t="str">
        <x:v>RM-05, RM-06, RM-09</x:v>
      </x:c>
      <x:c r="J16" s="63" t="str">
        <x:v>Staging build</x:v>
      </x:c>
      <x:c r="K16" s="63" t="str">
        <x:v>Method/version observable.</x:v>
      </x:c>
    </x:row>
    <x:row r="17">
      <x:c r="A17" s="62" t="str">
        <x:v>RM-12</x:v>
      </x:c>
      <x:c r="B17" s="62" t="str">
        <x:v>Engineering</x:v>
      </x:c>
      <x:c r="C17" s="62" t="str">
        <x:v>Implement issue reporting and immediate protection</x:v>
      </x:c>
      <x:c r="D17" s="62" t="str">
        <x:v>P0</x:v>
      </x:c>
      <x:c r="E17" s="63" t="str">
        <x:v>Engineering</x:v>
      </x:c>
      <x:c r="F17" s="63" t="str">
        <x:v>W5</x:v>
      </x:c>
      <x:c r="G17" s="63" t="str">
        <x:v>W6</x:v>
      </x:c>
      <x:c r="H17" s="63" t="str">
        <x:v>Planned</x:v>
      </x:c>
      <x:c r="I17" s="63" t="str">
        <x:v>RM-06, RM-09</x:v>
      </x:c>
      <x:c r="J17" s="63" t="str">
        <x:v>Staging build</x:v>
      </x:c>
      <x:c r="K17" s="63" t="str">
        <x:v>Not-mine protects immediately.</x:v>
      </x:c>
    </x:row>
    <x:row r="18">
      <x:c r="A18" s="62" t="str">
        <x:v>RM-13</x:v>
      </x:c>
      <x:c r="B18" s="62" t="str">
        <x:v>Operations</x:v>
      </x:c>
      <x:c r="C18" s="62" t="str">
        <x:v>Configure support case routing and status workflow</x:v>
      </x:c>
      <x:c r="D18" s="62" t="str">
        <x:v>P1</x:v>
      </x:c>
      <x:c r="E18" s="63" t="str">
        <x:v>Product Ops</x:v>
      </x:c>
      <x:c r="F18" s="63" t="str">
        <x:v>W5</x:v>
      </x:c>
      <x:c r="G18" s="63" t="str">
        <x:v>W6</x:v>
      </x:c>
      <x:c r="H18" s="63" t="str">
        <x:v>Planned</x:v>
      </x:c>
      <x:c r="I18" s="63" t="str">
        <x:v>RM-12</x:v>
      </x:c>
      <x:c r="J18" s="63" t="str">
        <x:v>Support workflow</x:v>
      </x:c>
      <x:c r="K18" s="63" t="str">
        <x:v>SOP and escalation owners ready.</x:v>
      </x:c>
    </x:row>
    <x:row r="19">
      <x:c r="A19" s="62" t="str">
        <x:v>RM-14</x:v>
      </x:c>
      <x:c r="B19" s="62" t="str">
        <x:v>QA</x:v>
      </x:c>
      <x:c r="C19" s="62" t="str">
        <x:v>Execute functional, integration and lifecycle cases</x:v>
      </x:c>
      <x:c r="D19" s="62" t="str">
        <x:v>P0</x:v>
      </x:c>
      <x:c r="E19" s="63" t="str">
        <x:v>QA</x:v>
      </x:c>
      <x:c r="F19" s="63" t="str">
        <x:v>W6</x:v>
      </x:c>
      <x:c r="G19" s="63" t="str">
        <x:v>W7</x:v>
      </x:c>
      <x:c r="H19" s="63" t="str">
        <x:v>Planned</x:v>
      </x:c>
      <x:c r="I19" s="63" t="str">
        <x:v>RM-08–RM-12</x:v>
      </x:c>
      <x:c r="J19" s="63" t="str">
        <x:v>Test run</x:v>
      </x:c>
      <x:c r="K19" s="63" t="str">
        <x:v>All P0 evidence attached.</x:v>
      </x:c>
    </x:row>
    <x:row r="20">
      <x:c r="A20" s="62" t="str">
        <x:v>RM-15</x:v>
      </x:c>
      <x:c r="B20" s="62" t="str">
        <x:v>QA</x:v>
      </x:c>
      <x:c r="C20" s="62" t="str">
        <x:v>Execute security, privacy and accessibility cases</x:v>
      </x:c>
      <x:c r="D20" s="62" t="str">
        <x:v>P0</x:v>
      </x:c>
      <x:c r="E20" s="63" t="str">
        <x:v>QA + Security</x:v>
      </x:c>
      <x:c r="F20" s="63" t="str">
        <x:v>W6</x:v>
      </x:c>
      <x:c r="G20" s="63" t="str">
        <x:v>W7</x:v>
      </x:c>
      <x:c r="H20" s="63" t="str">
        <x:v>Planned</x:v>
      </x:c>
      <x:c r="I20" s="63" t="str">
        <x:v>RM-08–RM-12</x:v>
      </x:c>
      <x:c r="J20" s="63" t="str">
        <x:v>Review reports</x:v>
      </x:c>
      <x:c r="K20" s="63" t="str">
        <x:v>Zero cross-account exposure.</x:v>
      </x:c>
    </x:row>
    <x:row r="21">
      <x:c r="A21" s="62" t="str">
        <x:v>RM-16</x:v>
      </x:c>
      <x:c r="B21" s="62" t="str">
        <x:v>Analytics</x:v>
      </x:c>
      <x:c r="C21" s="62" t="str">
        <x:v>Validate privacy-safe events and monitoring</x:v>
      </x:c>
      <x:c r="D21" s="62" t="str">
        <x:v>P1</x:v>
      </x:c>
      <x:c r="E21" s="63" t="str">
        <x:v>Analytics</x:v>
      </x:c>
      <x:c r="F21" s="63" t="str">
        <x:v>W6</x:v>
      </x:c>
      <x:c r="G21" s="63" t="str">
        <x:v>W7</x:v>
      </x:c>
      <x:c r="H21" s="63" t="str">
        <x:v>Planned</x:v>
      </x:c>
      <x:c r="I21" s="63" t="str">
        <x:v>RM-09, RM-11, RM-12</x:v>
      </x:c>
      <x:c r="J21" s="63" t="str">
        <x:v>Schema/test evidence</x:v>
      </x:c>
      <x:c r="K21" s="63" t="str">
        <x:v>No medicine text or support free text.</x:v>
      </x:c>
    </x:row>
    <x:row r="22">
      <x:c r="A22" s="62" t="str">
        <x:v>RM-17</x:v>
      </x:c>
      <x:c r="B22" s="62" t="str">
        <x:v>Release</x:v>
      </x:c>
      <x:c r="C22" s="62" t="str">
        <x:v>Complete go/no-go readiness review</x:v>
      </x:c>
      <x:c r="D22" s="62" t="str">
        <x:v>P0</x:v>
      </x:c>
      <x:c r="E22" s="63" t="str">
        <x:v>Product Manager</x:v>
      </x:c>
      <x:c r="F22" s="63" t="str">
        <x:v>W7</x:v>
      </x:c>
      <x:c r="G22" s="63" t="str">
        <x:v>W7</x:v>
      </x:c>
      <x:c r="H22" s="63" t="str">
        <x:v>Planned</x:v>
      </x:c>
      <x:c r="I22" s="63" t="str">
        <x:v>RM-13–RM-16</x:v>
      </x:c>
      <x:c r="J22" s="63" t="str">
        <x:v>Decision log</x:v>
      </x:c>
      <x:c r="K22" s="63" t="str">
        <x:v>17 release controls reviewed.</x:v>
      </x:c>
    </x:row>
    <x:row r="23">
      <x:c r="A23" s="62" t="str">
        <x:v>RM-18</x:v>
      </x:c>
      <x:c r="B23" s="62" t="str">
        <x:v>Pilot</x:v>
      </x:c>
      <x:c r="C23" s="62" t="str">
        <x:v>Enable controlled pilot cohort</x:v>
      </x:c>
      <x:c r="D23" s="62" t="str">
        <x:v>P0</x:v>
      </x:c>
      <x:c r="E23" s="63" t="str">
        <x:v>Release Owner</x:v>
      </x:c>
      <x:c r="F23" s="63" t="str">
        <x:v>W8</x:v>
      </x:c>
      <x:c r="G23" s="63" t="str">
        <x:v>W8</x:v>
      </x:c>
      <x:c r="H23" s="63" t="str">
        <x:v>Planned</x:v>
      </x:c>
      <x:c r="I23" s="63" t="str">
        <x:v>RM-17</x:v>
      </x:c>
      <x:c r="J23" s="63" t="str">
        <x:v>Pilot enabled</x:v>
      </x:c>
      <x:c r="K23" s="63" t="str">
        <x:v>Feature flag and rollback ready.</x:v>
      </x:c>
    </x:row>
    <x:row r="24">
      <x:c r="A24" s="62" t="str">
        <x:v>RM-19</x:v>
      </x:c>
      <x:c r="B24" s="62" t="str">
        <x:v>Pilot</x:v>
      </x:c>
      <x:c r="C24" s="62" t="str">
        <x:v>Run daily pilot review and issue triage</x:v>
      </x:c>
      <x:c r="D24" s="62" t="str">
        <x:v>P0</x:v>
      </x:c>
      <x:c r="E24" s="63" t="str">
        <x:v>Cross-functional</x:v>
      </x:c>
      <x:c r="F24" s="63" t="str">
        <x:v>W8</x:v>
      </x:c>
      <x:c r="G24" s="63" t="str">
        <x:v>W9</x:v>
      </x:c>
      <x:c r="H24" s="63" t="str">
        <x:v>Planned</x:v>
      </x:c>
      <x:c r="I24" s="63" t="str">
        <x:v>RM-18</x:v>
      </x:c>
      <x:c r="J24" s="63" t="str">
        <x:v>Daily decision log</x:v>
      </x:c>
      <x:c r="K24" s="63" t="str">
        <x:v>Hold/expand/rollback explicitly decided.</x:v>
      </x:c>
    </x:row>
    <x:row r="25">
      <x:c r="A25" s="64" t="str">
        <x:v>RM-20</x:v>
      </x:c>
      <x:c r="B25" s="64" t="str">
        <x:v>Review</x:v>
      </x:c>
      <x:c r="C25" s="64" t="str">
        <x:v>Publish pilot outcome and scale recommendation</x:v>
      </x:c>
      <x:c r="D25" s="64" t="str">
        <x:v>P1</x:v>
      </x:c>
      <x:c r="E25" s="65" t="str">
        <x:v>Product Manager</x:v>
      </x:c>
      <x:c r="F25" s="65" t="str">
        <x:v>W9</x:v>
      </x:c>
      <x:c r="G25" s="65" t="str">
        <x:v>W9</x:v>
      </x:c>
      <x:c r="H25" s="65" t="str">
        <x:v>Planned</x:v>
      </x:c>
      <x:c r="I25" s="65" t="str">
        <x:v>RM-19</x:v>
      </x:c>
      <x:c r="J25" s="65" t="str">
        <x:v>Pilot summary</x:v>
      </x:c>
      <x:c r="K25" s="65" t="str">
        <x:v>Include customer/store feedback and unresolved risks.</x:v>
      </x:c>
    </x:row>
  </x:sheetData>
  <x:mergeCells>
    <x:mergeCell ref="A1:K1"/>
    <x:mergeCell ref="A2:K2"/>
    <x:mergeCell ref="A4:K4"/>
  </x:mergeCells>
  <x:conditionalFormatting sqref="H6:H105">
    <x:cfRule type="cellIs" dxfId="0" priority="1" operator="equal">
      <x:formula>"Complete"</x:formula>
    </x:cfRule>
    <x:cfRule type="cellIs" dxfId="1" priority="2" operator="equal">
      <x:formula>"Blocked"</x:formula>
    </x:cfRule>
  </x:conditionalFormatting>
  <x:dataValidations count="2">
    <x:dataValidation type="list" sqref="D6:D105">
      <x:formula1>"P0,P1,P2,P3"</x:formula1>
    </x:dataValidation>
    <x:dataValidation type="list" sqref="H6:H105">
      <x:formula1>"Planned,In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9cdf24903146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8" hidden="0" customWidth="1"/>
    <x:col min="4" max="4" width="4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3" hidden="0" customWidth="1"/>
    <x:col min="10" max="10" width="20" hidden="0" customWidth="1"/>
    <x:col min="11" max="11" width="33" hidden="0" customWidth="1"/>
  </x:cols>
  <x:sheetData>
    <x:row r="1" ht="33" customHeight="1">
      <x:c r="A1" s="54" t="str">
        <x:v>RICE + MoSCoW Prioritization</x:v>
      </x:c>
      <x:c r="B1" s="54" t="str">
        <x:v>RICE + MoSCoW Prioritization</x:v>
      </x:c>
      <x:c r="C1" s="54" t="str">
        <x:v>RICE + MoSCoW Prioritization</x:v>
      </x:c>
      <x:c r="D1" s="54" t="str">
        <x:v>RICE + MoSCoW Prioritization</x:v>
      </x:c>
      <x:c r="E1" s="54" t="str">
        <x:v>RICE + MoSCoW Prioritization</x:v>
      </x:c>
      <x:c r="F1" s="54" t="str">
        <x:v>RICE + MoSCoW Prioritization</x:v>
      </x:c>
      <x:c r="G1" s="54" t="str">
        <x:v>RICE + MoSCoW Prioritization</x:v>
      </x:c>
      <x:c r="H1" s="54" t="str">
        <x:v>RICE + MoSCoW Prioritization</x:v>
      </x:c>
      <x:c r="I1" s="54" t="str">
        <x:v>RICE + MoSCoW Prioritization</x:v>
      </x:c>
      <x:c r="J1" s="54" t="str">
        <x:v>RICE + MoSCoW Prioritization</x:v>
      </x:c>
      <x:c r="K1" s="54" t="str">
        <x:v>RICE + MoSCoW Prioritization</x:v>
      </x:c>
    </x:row>
    <x:row r="2" ht="27" customHeight="1">
      <x:c r="A2" s="55" t="str">
        <x:v>Editable proposed inputs • RICE score = Reach × Impact × Confidence ÷ Effort</x:v>
      </x:c>
      <x:c r="B2" s="55" t="str">
        <x:v>Editable proposed inputs • RICE score = Reach × Impact × Confidence ÷ Effort</x:v>
      </x:c>
      <x:c r="C2" s="55" t="str">
        <x:v>Editable proposed inputs • RICE score = Reach × Impact × Confidence ÷ Effort</x:v>
      </x:c>
      <x:c r="D2" s="55" t="str">
        <x:v>Editable proposed inputs • RICE score = Reach × Impact × Confidence ÷ Effort</x:v>
      </x:c>
      <x:c r="E2" s="55" t="str">
        <x:v>Editable proposed inputs • RICE score = Reach × Impact × Confidence ÷ Effort</x:v>
      </x:c>
      <x:c r="F2" s="55" t="str">
        <x:v>Editable proposed inputs • RICE score = Reach × Impact × Confidence ÷ Effort</x:v>
      </x:c>
      <x:c r="G2" s="55" t="str">
        <x:v>Editable proposed inputs • RICE score = Reach × Impact × Confidence ÷ Effort</x:v>
      </x:c>
      <x:c r="H2" s="55" t="str">
        <x:v>Editable proposed inputs • RICE score = Reach × Impact × Confidence ÷ Effort</x:v>
      </x:c>
      <x:c r="I2" s="55" t="str">
        <x:v>Editable proposed inputs • RICE score = Reach × Impact × Confidence ÷ Effort</x:v>
      </x:c>
      <x:c r="J2" s="55" t="str">
        <x:v>Editable proposed inputs • RICE score = Reach × Impact × Confidence ÷ Effort</x:v>
      </x:c>
      <x:c r="K2" s="55" t="str">
        <x:v>Editable proposed inputs • RICE score = Reach × Impact × Confidence ÷ Effort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61" t="str">
        <x:v>Scores support a decision; they do not replace privacy, safety, compliance or architectural gates.</x:v>
      </x:c>
      <x:c r="B4" s="61" t="str">
        <x:v>Scores support a decision; they do not replace privacy, safety, compliance or architectural gates.</x:v>
      </x:c>
      <x:c r="C4" s="61" t="str">
        <x:v>Scores support a decision; they do not replace privacy, safety, compliance or architectural gates.</x:v>
      </x:c>
      <x:c r="D4" s="61" t="str">
        <x:v>Scores support a decision; they do not replace privacy, safety, compliance or architectural gates.</x:v>
      </x:c>
      <x:c r="E4" s="61" t="str">
        <x:v>Scores support a decision; they do not replace privacy, safety, compliance or architectural gates.</x:v>
      </x:c>
      <x:c r="F4" s="61" t="str">
        <x:v>Scores support a decision; they do not replace privacy, safety, compliance or architectural gates.</x:v>
      </x:c>
      <x:c r="G4" s="61" t="str">
        <x:v>Scores support a decision; they do not replace privacy, safety, compliance or architectural gates.</x:v>
      </x:c>
      <x:c r="H4" s="61" t="str">
        <x:v>Scores support a decision; they do not replace privacy, safety, compliance or architectural gates.</x:v>
      </x:c>
      <x:c r="I4" s="61" t="str">
        <x:v>Scores support a decision; they do not replace privacy, safety, compliance or architectural gates.</x:v>
      </x:c>
      <x:c r="J4" s="61" t="str">
        <x:v>Scores support a decision; they do not replace privacy, safety, compliance or architectural gates.</x:v>
      </x:c>
      <x:c r="K4" s="61" t="str">
        <x:v>Scores support a decision; they do not replace privacy, safety, compliance or architectural gates.</x:v>
      </x:c>
    </x:row>
    <x:row r="5" ht="30" customHeight="1">
      <x:c r="A5" s="57" t="str">
        <x:v>ID</x:v>
      </x:c>
      <x:c r="B5" s="57" t="str">
        <x:v>Capability</x:v>
      </x:c>
      <x:c r="C5" s="57" t="str">
        <x:v>Theme</x:v>
      </x:c>
      <x:c r="D5" s="57" t="str">
        <x:v>User / Business Value</x:v>
      </x:c>
      <x:c r="E5" s="57" t="str">
        <x:v>Reach</x:v>
      </x:c>
      <x:c r="F5" s="57" t="str">
        <x:v>Impact</x:v>
      </x:c>
      <x:c r="G5" s="57" t="str">
        <x:v>Confidence</x:v>
      </x:c>
      <x:c r="H5" s="57" t="str">
        <x:v>Effort</x:v>
      </x:c>
      <x:c r="I5" s="57" t="str">
        <x:v>RICE Score</x:v>
      </x:c>
      <x:c r="J5" s="57" t="str">
        <x:v>MoSCoW</x:v>
      </x:c>
      <x:c r="K5" s="57" t="str">
        <x:v>Note</x:v>
      </x:c>
    </x:row>
    <x:row r="6">
      <x:c r="A6" s="62" t="str">
        <x:v>PRI-01</x:v>
      </x:c>
      <x:c r="B6" s="62" t="str">
        <x:v>Fail-closed account matching</x:v>
      </x:c>
      <x:c r="C6" s="62" t="str">
        <x:v>Privacy/Security</x:v>
      </x:c>
      <x:c r="D6" s="62" t="str">
        <x:v>Stops cross-account purchase exposure.</x:v>
      </x:c>
      <x:c r="E6" s="63" t="n">
        <x:v>90</x:v>
      </x:c>
      <x:c r="F6" s="63" t="n">
        <x:v>3</x:v>
      </x:c>
      <x:c r="G6" s="66" t="n">
        <x:v>0.9</x:v>
      </x:c>
      <x:c r="H6" s="63" t="n">
        <x:v>8</x:v>
      </x:c>
      <x:c r="I6" s="67" t="n">
        <x:f>IFERROR((E6*F6*G6)/H6,0)</x:f>
        <x:v>30.375</x:v>
      </x:c>
      <x:c r="J6" s="63" t="str">
        <x:v>Must have</x:v>
      </x:c>
      <x:c r="K6" s="63" t="str">
        <x:v>Proposed input</x:v>
      </x:c>
    </x:row>
    <x:row r="7">
      <x:c r="A7" s="62" t="str">
        <x:v>PRI-02</x:v>
      </x:c>
      <x:c r="B7" s="62" t="str">
        <x:v>Authorized purchase history/detail</x:v>
      </x:c>
      <x:c r="C7" s="62" t="str">
        <x:v>Core value</x:v>
      </x:c>
      <x:c r="D7" s="62" t="str">
        <x:v>Lets customers understand linked purchases.</x:v>
      </x:c>
      <x:c r="E7" s="63" t="n">
        <x:v>85</x:v>
      </x:c>
      <x:c r="F7" s="63" t="n">
        <x:v>3</x:v>
      </x:c>
      <x:c r="G7" s="66" t="n">
        <x:v>0.85</x:v>
      </x:c>
      <x:c r="H7" s="63" t="n">
        <x:v>10</x:v>
      </x:c>
      <x:c r="I7" s="67" t="n">
        <x:f>IFERROR((E7*F7*G7)/H7,0)</x:f>
        <x:v>21.675</x:v>
      </x:c>
      <x:c r="J7" s="63" t="str">
        <x:v>Must have</x:v>
      </x:c>
      <x:c r="K7" s="63" t="str">
        <x:v>Proposed input</x:v>
      </x:c>
    </x:row>
    <x:row r="8">
      <x:c r="A8" s="62" t="str">
        <x:v>PRI-03</x:v>
      </x:c>
      <x:c r="B8" s="62" t="str">
        <x:v>Idempotent transaction ingestion</x:v>
      </x:c>
      <x:c r="C8" s="62" t="str">
        <x:v>Data integrity</x:v>
      </x:c>
      <x:c r="D8" s="62" t="str">
        <x:v>Prevents duplicates and double-counted savings.</x:v>
      </x:c>
      <x:c r="E8" s="63" t="n">
        <x:v>80</x:v>
      </x:c>
      <x:c r="F8" s="63" t="n">
        <x:v>3</x:v>
      </x:c>
      <x:c r="G8" s="66" t="n">
        <x:v>0.9</x:v>
      </x:c>
      <x:c r="H8" s="63" t="n">
        <x:v>8</x:v>
      </x:c>
      <x:c r="I8" s="67" t="n">
        <x:f>IFERROR((E8*F8*G8)/H8,0)</x:f>
        <x:v>27</x:v>
      </x:c>
      <x:c r="J8" s="63" t="str">
        <x:v>Must have</x:v>
      </x:c>
      <x:c r="K8" s="63" t="str">
        <x:v>Proposed input</x:v>
      </x:c>
    </x:row>
    <x:row r="9">
      <x:c r="A9" s="62" t="str">
        <x:v>PRI-04</x:v>
      </x:c>
      <x:c r="B9" s="62" t="str">
        <x:v>Correction and not-mine protection</x:v>
      </x:c>
      <x:c r="C9" s="62" t="str">
        <x:v>Trust/Safety</x:v>
      </x:c>
      <x:c r="D9" s="62" t="str">
        <x:v>Gives customers a safe correction path.</x:v>
      </x:c>
      <x:c r="E9" s="63" t="n">
        <x:v>65</x:v>
      </x:c>
      <x:c r="F9" s="63" t="n">
        <x:v>3</x:v>
      </x:c>
      <x:c r="G9" s="66" t="n">
        <x:v>0.85</x:v>
      </x:c>
      <x:c r="H9" s="63" t="n">
        <x:v>8</x:v>
      </x:c>
      <x:c r="I9" s="67" t="n">
        <x:f>IFERROR((E9*F9*G9)/H9,0)</x:f>
        <x:v>20.71875</x:v>
      </x:c>
      <x:c r="J9" s="63" t="str">
        <x:v>Must have</x:v>
      </x:c>
      <x:c r="K9" s="63" t="str">
        <x:v>Proposed input</x:v>
      </x:c>
    </x:row>
    <x:row r="10">
      <x:c r="A10" s="62" t="str">
        <x:v>PRI-05</x:v>
      </x:c>
      <x:c r="B10" s="62" t="str">
        <x:v>Explainable savings</x:v>
      </x:c>
      <x:c r="C10" s="62" t="str">
        <x:v>Trust</x:v>
      </x:c>
      <x:c r="D10" s="62" t="str">
        <x:v>Makes the claimed saving understandable.</x:v>
      </x:c>
      <x:c r="E10" s="63" t="n">
        <x:v>75</x:v>
      </x:c>
      <x:c r="F10" s="63" t="n">
        <x:v>2</x:v>
      </x:c>
      <x:c r="G10" s="66" t="n">
        <x:v>0.75</x:v>
      </x:c>
      <x:c r="H10" s="63" t="n">
        <x:v>8</x:v>
      </x:c>
      <x:c r="I10" s="67" t="n">
        <x:f>IFERROR((E10*F10*G10)/H10,0)</x:f>
        <x:v>14.0625</x:v>
      </x:c>
      <x:c r="J10" s="63" t="str">
        <x:v>Must have</x:v>
      </x:c>
      <x:c r="K10" s="63" t="str">
        <x:v>Comparator approval required</x:v>
      </x:c>
    </x:row>
    <x:row r="11">
      <x:c r="A11" s="62" t="str">
        <x:v>PRI-06</x:v>
      </x:c>
      <x:c r="B11" s="62" t="str">
        <x:v>Digital invoice</x:v>
      </x:c>
      <x:c r="C11" s="62" t="str">
        <x:v>Convenience</x:v>
      </x:c>
      <x:c r="D11" s="62" t="str">
        <x:v>Reduces friction when finding a previous bill.</x:v>
      </x:c>
      <x:c r="E11" s="63" t="n">
        <x:v>70</x:v>
      </x:c>
      <x:c r="F11" s="63" t="n">
        <x:v>2</x:v>
      </x:c>
      <x:c r="G11" s="66" t="n">
        <x:v>0.8</x:v>
      </x:c>
      <x:c r="H11" s="63" t="n">
        <x:v>6</x:v>
      </x:c>
      <x:c r="I11" s="67" t="n">
        <x:f>IFERROR((E11*F11*G11)/H11,0)</x:f>
        <x:v>18.666666666666668</x:v>
      </x:c>
      <x:c r="J11" s="63" t="str">
        <x:v>Should have</x:v>
      </x:c>
      <x:c r="K11" s="63" t="str">
        <x:v>Service dependency</x:v>
      </x:c>
    </x:row>
    <x:row r="12">
      <x:c r="A12" s="62" t="str">
        <x:v>PRI-07</x:v>
      </x:c>
      <x:c r="B12" s="62" t="str">
        <x:v>Claim unmatched purchase</x:v>
      </x:c>
      <x:c r="C12" s="62" t="str">
        <x:v>Coverage</x:v>
      </x:c>
      <x:c r="D12" s="62" t="str">
        <x:v>Helps when automatic linking fails safely.</x:v>
      </x:c>
      <x:c r="E12" s="63" t="n">
        <x:v>45</x:v>
      </x:c>
      <x:c r="F12" s="63" t="n">
        <x:v>2</x:v>
      </x:c>
      <x:c r="G12" s="66" t="n">
        <x:v>0.65</x:v>
      </x:c>
      <x:c r="H12" s="63" t="n">
        <x:v>8</x:v>
      </x:c>
      <x:c r="I12" s="67" t="n">
        <x:f>IFERROR((E12*F12*G12)/H12,0)</x:f>
        <x:v>7.3125</x:v>
      </x:c>
      <x:c r="J12" s="63" t="str">
        <x:v>Should have</x:v>
      </x:c>
      <x:c r="K12" s="63" t="str">
        <x:v>Anti-abuse controls required</x:v>
      </x:c>
    </x:row>
    <x:row r="13">
      <x:c r="A13" s="62" t="str">
        <x:v>PRI-08</x:v>
      </x:c>
      <x:c r="B13" s="62" t="str">
        <x:v>Cumulative savings summary</x:v>
      </x:c>
      <x:c r="C13" s="62" t="str">
        <x:v>Engagement</x:v>
      </x:c>
      <x:c r="D13" s="62" t="str">
        <x:v>Shows longer-term savings across purchases.</x:v>
      </x:c>
      <x:c r="E13" s="63" t="n">
        <x:v>55</x:v>
      </x:c>
      <x:c r="F13" s="63" t="n">
        <x:v>1</x:v>
      </x:c>
      <x:c r="G13" s="66" t="n">
        <x:v>0.55</x:v>
      </x:c>
      <x:c r="H13" s="63" t="n">
        <x:v>6</x:v>
      </x:c>
      <x:c r="I13" s="67" t="n">
        <x:f>IFERROR((E13*F13*G13)/H13,0)</x:f>
        <x:v>5.041666666666667</x:v>
      </x:c>
      <x:c r="J13" s="63" t="str">
        <x:v>Could have</x:v>
      </x:c>
      <x:c r="K13" s="63" t="str">
        <x:v>Defer until comparison coverage is reliable</x:v>
      </x:c>
    </x:row>
    <x:row r="14">
      <x:c r="A14" s="62" t="str">
        <x:v>PRI-09</x:v>
      </x:c>
      <x:c r="B14" s="62" t="str">
        <x:v>Family purchase assignment</x:v>
      </x:c>
      <x:c r="C14" s="62" t="str">
        <x:v>Convenience</x:v>
      </x:c>
      <x:c r="D14" s="62" t="str">
        <x:v>Supports household purchasing patterns.</x:v>
      </x:c>
      <x:c r="E14" s="63" t="n">
        <x:v>40</x:v>
      </x:c>
      <x:c r="F14" s="63" t="n">
        <x:v>2</x:v>
      </x:c>
      <x:c r="G14" s="66" t="n">
        <x:v>0.4</x:v>
      </x:c>
      <x:c r="H14" s="63" t="n">
        <x:v>13</x:v>
      </x:c>
      <x:c r="I14" s="67" t="n">
        <x:f>IFERROR((E14*F14*G14)/H14,0)</x:f>
        <x:v>2.4615384615384617</x:v>
      </x:c>
      <x:c r="J14" s="63" t="str">
        <x:v>Won't have — MVP</x:v>
      </x:c>
      <x:c r="K14" s="63" t="str">
        <x:v>Identity/privacy complexity</x:v>
      </x:c>
    </x:row>
    <x:row r="15">
      <x:c r="A15" s="62" t="str">
        <x:v>PRI-10</x:v>
      </x:c>
      <x:c r="B15" s="62" t="str">
        <x:v>Refill reminder integration</x:v>
      </x:c>
      <x:c r="C15" s="62" t="str">
        <x:v>Retention</x:v>
      </x:c>
      <x:c r="D15" s="62" t="str">
        <x:v>Could help users remember future needs.</x:v>
      </x:c>
      <x:c r="E15" s="63" t="n">
        <x:v>50</x:v>
      </x:c>
      <x:c r="F15" s="63" t="n">
        <x:v>2</x:v>
      </x:c>
      <x:c r="G15" s="66" t="n">
        <x:v>0.35</x:v>
      </x:c>
      <x:c r="H15" s="63" t="n">
        <x:v>13</x:v>
      </x:c>
      <x:c r="I15" s="67" t="n">
        <x:f>IFERROR((E15*F15*G15)/H15,0)</x:f>
        <x:v>2.6923076923076925</x:v>
      </x:c>
      <x:c r="J15" s="63" t="str">
        <x:v>Won't have — MVP</x:v>
      </x:c>
      <x:c r="K15" s="63" t="str">
        <x:v>Requires explicit consent and clinical caution</x:v>
      </x:c>
    </x:row>
    <x:row r="16">
      <x:c r="A16" s="64" t="str">
        <x:v>PRI-11</x:v>
      </x:c>
      <x:c r="B16" s="64" t="str">
        <x:v>Reorder from purchase</x:v>
      </x:c>
      <x:c r="C16" s="64" t="str">
        <x:v>Commercial</x:v>
      </x:c>
      <x:c r="D16" s="64" t="str">
        <x:v>Creates a repeat-purchase path.</x:v>
      </x:c>
      <x:c r="E16" s="65" t="n">
        <x:v>60</x:v>
      </x:c>
      <x:c r="F16" s="65" t="n">
        <x:v>2</x:v>
      </x:c>
      <x:c r="G16" s="68" t="n">
        <x:v>0.3</x:v>
      </x:c>
      <x:c r="H16" s="65" t="n">
        <x:v>15</x:v>
      </x:c>
      <x:c r="I16" s="69" t="n">
        <x:f>IFERROR((E16*F16*G16)/H16,0)</x:f>
        <x:v>2.4</x:v>
      </x:c>
      <x:c r="J16" s="65" t="str">
        <x:v>Won't have — MVP</x:v>
      </x:c>
      <x:c r="K16" s="65" t="str">
        <x:v>Operational and safety scope expansion</x:v>
      </x:c>
    </x:row>
  </x:sheetData>
  <x:mergeCells>
    <x:mergeCell ref="A1:K1"/>
    <x:mergeCell ref="A2:K2"/>
    <x:mergeCell ref="A4:K4"/>
  </x:mergeCells>
  <x:dataValidations count="2">
    <x:dataValidation type="list" sqref="F6:F105">
      <x:formula1>"0.5,1,2,3"</x:formula1>
    </x:dataValidation>
    <x:dataValidation type="list" sqref="J6:J105">
      <x:formula1>"Must have,Should have,Could have,Won't have — MVP"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d82cc7eb954c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9" hidden="0" customWidth="1"/>
    <x:col min="4" max="4" width="16" hidden="0" customWidth="1"/>
    <x:col min="5" max="5" width="22" hidden="0" customWidth="1"/>
    <x:col min="6" max="6" width="9" hidden="0" customWidth="1"/>
    <x:col min="7" max="7" width="13" hidden="0" customWidth="1"/>
    <x:col min="8" max="8" width="16" hidden="0" customWidth="1"/>
    <x:col min="9" max="9" width="10" hidden="0" customWidth="1"/>
    <x:col min="10" max="10" width="25" hidden="0" customWidth="1"/>
    <x:col min="11" max="11" width="23" hidden="0" customWidth="1"/>
    <x:col min="12" max="12" width="34" hidden="0" customWidth="1"/>
  </x:cols>
  <x:sheetData>
    <x:row r="1" ht="33" customHeight="1">
      <x:c r="A1" s="54" t="str">
        <x:v>Sprint &amp; Task Tracker</x:v>
      </x:c>
      <x:c r="B1" s="54" t="str">
        <x:v>Sprint &amp; Task Tracker</x:v>
      </x:c>
      <x:c r="C1" s="54" t="str">
        <x:v>Sprint &amp; Task Tracker</x:v>
      </x:c>
      <x:c r="D1" s="54" t="str">
        <x:v>Sprint &amp; Task Tracker</x:v>
      </x:c>
      <x:c r="E1" s="54" t="str">
        <x:v>Sprint &amp; Task Tracker</x:v>
      </x:c>
      <x:c r="F1" s="54" t="str">
        <x:v>Sprint &amp; Task Tracker</x:v>
      </x:c>
      <x:c r="G1" s="54" t="str">
        <x:v>Sprint &amp; Task Tracker</x:v>
      </x:c>
      <x:c r="H1" s="54" t="str">
        <x:v>Sprint &amp; Task Tracker</x:v>
      </x:c>
      <x:c r="I1" s="54" t="str">
        <x:v>Sprint &amp; Task Tracker</x:v>
      </x:c>
      <x:c r="J1" s="54" t="str">
        <x:v>Sprint &amp; Task Tracker</x:v>
      </x:c>
      <x:c r="K1" s="54" t="str">
        <x:v>Sprint &amp; Task Tracker</x:v>
      </x:c>
      <x:c r="L1" s="54" t="str">
        <x:v>Sprint &amp; Task Tracker</x:v>
      </x:c>
    </x:row>
    <x:row r="2" ht="27" customHeight="1">
      <x:c r="A2" s="55" t="str">
        <x:v>Proposed work breakdown • yellow fields are expected execution inputs</x:v>
      </x:c>
      <x:c r="B2" s="55" t="str">
        <x:v>Proposed work breakdown • yellow fields are expected execution inputs</x:v>
      </x:c>
      <x:c r="C2" s="55" t="str">
        <x:v>Proposed work breakdown • yellow fields are expected execution inputs</x:v>
      </x:c>
      <x:c r="D2" s="55" t="str">
        <x:v>Proposed work breakdown • yellow fields are expected execution inputs</x:v>
      </x:c>
      <x:c r="E2" s="55" t="str">
        <x:v>Proposed work breakdown • yellow fields are expected execution inputs</x:v>
      </x:c>
      <x:c r="F2" s="55" t="str">
        <x:v>Proposed work breakdown • yellow fields are expected execution inputs</x:v>
      </x:c>
      <x:c r="G2" s="55" t="str">
        <x:v>Proposed work breakdown • yellow fields are expected execution inputs</x:v>
      </x:c>
      <x:c r="H2" s="55" t="str">
        <x:v>Proposed work breakdown • yellow fields are expected execution inputs</x:v>
      </x:c>
      <x:c r="I2" s="55" t="str">
        <x:v>Proposed work breakdown • yellow fields are expected execution inputs</x:v>
      </x:c>
      <x:c r="J2" s="55" t="str">
        <x:v>Proposed work breakdown • yellow fields are expected execution inputs</x:v>
      </x:c>
      <x:c r="K2" s="55" t="str">
        <x:v>Proposed work breakdown • yellow fields are expected execution inputs</x:v>
      </x:c>
      <x:c r="L2" s="55" t="str">
        <x:v>Proposed work breakdown • yellow fields are expected execution inputs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</x:row>
    <x:row r="4">
      <x:c r="A4" s="70" t="str">
        <x:v>No task is considered complete without its stated deliverable/evidence. Statuses remain Planned until authorized work begins.</x:v>
      </x:c>
      <x:c r="B4" s="70" t="str">
        <x:v>No task is considered complete without its stated deliverable/evidence. Statuses remain Planned until authorized work begins.</x:v>
      </x:c>
      <x:c r="C4" s="70" t="str">
        <x:v>No task is considered complete without its stated deliverable/evidence. Statuses remain Planned until authorized work begins.</x:v>
      </x:c>
      <x:c r="D4" s="70" t="str">
        <x:v>No task is considered complete without its stated deliverable/evidence. Statuses remain Planned until authorized work begins.</x:v>
      </x:c>
      <x:c r="E4" s="70" t="str">
        <x:v>No task is considered complete without its stated deliverable/evidence. Statuses remain Planned until authorized work begins.</x:v>
      </x:c>
      <x:c r="F4" s="70" t="str">
        <x:v>No task is considered complete without its stated deliverable/evidence. Statuses remain Planned until authorized work begins.</x:v>
      </x:c>
      <x:c r="G4" s="70" t="str">
        <x:v>No task is considered complete without its stated deliverable/evidence. Statuses remain Planned until authorized work begins.</x:v>
      </x:c>
      <x:c r="H4" s="70" t="str">
        <x:v>No task is considered complete without its stated deliverable/evidence. Statuses remain Planned until authorized work begins.</x:v>
      </x:c>
      <x:c r="I4" s="70" t="str">
        <x:v>No task is considered complete without its stated deliverable/evidence. Statuses remain Planned until authorized work begins.</x:v>
      </x:c>
      <x:c r="J4" s="70" t="str">
        <x:v>No task is considered complete without its stated deliverable/evidence. Statuses remain Planned until authorized work begins.</x:v>
      </x:c>
      <x:c r="K4" s="70" t="str">
        <x:v>No task is considered complete without its stated deliverable/evidence. Statuses remain Planned until authorized work begins.</x:v>
      </x:c>
      <x:c r="L4" s="70" t="str">
        <x:v>No task is considered complete without its stated deliverable/evidence. Statuses remain Planned until authorized work begins.</x:v>
      </x:c>
    </x:row>
    <x:row r="5" ht="30" customHeight="1">
      <x:c r="A5" s="57" t="str">
        <x:v>Task ID</x:v>
      </x:c>
      <x:c r="B5" s="57" t="str">
        <x:v>Roadmap ID</x:v>
      </x:c>
      <x:c r="C5" s="57" t="str">
        <x:v>Task</x:v>
      </x:c>
      <x:c r="D5" s="57" t="str">
        <x:v>Workstream</x:v>
      </x:c>
      <x:c r="E5" s="57" t="str">
        <x:v>Owner</x:v>
      </x:c>
      <x:c r="F5" s="57" t="str">
        <x:v>Priority</x:v>
      </x:c>
      <x:c r="G5" s="57" t="str">
        <x:v>Sprint</x:v>
      </x:c>
      <x:c r="H5" s="57" t="str">
        <x:v>Status</x:v>
      </x:c>
      <x:c r="I5" s="57" t="str">
        <x:v>Progress</x:v>
      </x:c>
      <x:c r="J5" s="57" t="str">
        <x:v>Depends On</x:v>
      </x:c>
      <x:c r="K5" s="57" t="str">
        <x:v>Evidence / Output</x:v>
      </x:c>
      <x:c r="L5" s="57" t="str">
        <x:v>Definition of Done / Note</x:v>
      </x:c>
    </x:row>
    <x:row r="6">
      <x:c r="A6" s="62" t="str">
        <x:v>TASK-001</x:v>
      </x:c>
      <x:c r="B6" s="62" t="str">
        <x:v>RM-02</x:v>
      </x:c>
      <x:c r="C6" s="62" t="str">
        <x:v>Interview guide and recruitment criteria</x:v>
      </x:c>
      <x:c r="D6" s="62" t="str">
        <x:v>Research</x:v>
      </x:c>
      <x:c r="E6" s="63" t="str">
        <x:v>Product Associate</x:v>
      </x:c>
      <x:c r="F6" s="63" t="str">
        <x:v>P0</x:v>
      </x:c>
      <x:c r="G6" s="63" t="str">
        <x:v>Sprint 1</x:v>
      </x:c>
      <x:c r="H6" s="63" t="str">
        <x:v>Planned</x:v>
      </x:c>
      <x:c r="I6" s="63" t="str">
        <x:v>0%</x:v>
      </x:c>
      <x:c r="J6" s="63" t="str">
        <x:v>RM-01</x:v>
      </x:c>
      <x:c r="K6" s="63" t="str">
        <x:v>Research guide</x:v>
      </x:c>
      <x:c r="L6" s="63" t="str">
        <x:v>No customer PII in notes</x:v>
      </x:c>
    </x:row>
    <x:row r="7">
      <x:c r="A7" s="62" t="str">
        <x:v>TASK-002</x:v>
      </x:c>
      <x:c r="B7" s="62" t="str">
        <x:v>RM-02</x:v>
      </x:c>
      <x:c r="C7" s="62" t="str">
        <x:v>Run 5–7 concept interviews</x:v>
      </x:c>
      <x:c r="D7" s="62" t="str">
        <x:v>Research</x:v>
      </x:c>
      <x:c r="E7" s="63" t="str">
        <x:v>Product Associate</x:v>
      </x:c>
      <x:c r="F7" s="63" t="str">
        <x:v>P0</x:v>
      </x:c>
      <x:c r="G7" s="63" t="str">
        <x:v>Sprint 1</x:v>
      </x:c>
      <x:c r="H7" s="63" t="str">
        <x:v>Planned</x:v>
      </x:c>
      <x:c r="I7" s="63" t="str">
        <x:v>0%</x:v>
      </x:c>
      <x:c r="J7" s="63" t="str">
        <x:v>TASK-001</x:v>
      </x:c>
      <x:c r="K7" s="63" t="str">
        <x:v>Interview notes</x:v>
      </x:c>
      <x:c r="L7" s="63" t="str">
        <x:v>Authorized participants</x:v>
      </x:c>
    </x:row>
    <x:row r="8">
      <x:c r="A8" s="62" t="str">
        <x:v>TASK-003</x:v>
      </x:c>
      <x:c r="B8" s="62" t="str">
        <x:v>RM-02</x:v>
      </x:c>
      <x:c r="C8" s="62" t="str">
        <x:v>Synthesize themes and decision impact</x:v>
      </x:c>
      <x:c r="D8" s="62" t="str">
        <x:v>Research</x:v>
      </x:c>
      <x:c r="E8" s="63" t="str">
        <x:v>Product Associate</x:v>
      </x:c>
      <x:c r="F8" s="63" t="str">
        <x:v>P0</x:v>
      </x:c>
      <x:c r="G8" s="63" t="str">
        <x:v>Sprint 1</x:v>
      </x:c>
      <x:c r="H8" s="63" t="str">
        <x:v>Planned</x:v>
      </x:c>
      <x:c r="I8" s="63" t="str">
        <x:v>0%</x:v>
      </x:c>
      <x:c r="J8" s="63" t="str">
        <x:v>TASK-002</x:v>
      </x:c>
      <x:c r="K8" s="63" t="str">
        <x:v>Synthesis</x:v>
      </x:c>
      <x:c r="L8" s="63" t="str">
        <x:v>Separate evidence from inference</x:v>
      </x:c>
    </x:row>
    <x:row r="9">
      <x:c r="A9" s="62" t="str">
        <x:v>TASK-004</x:v>
      </x:c>
      <x:c r="B9" s="62" t="str">
        <x:v>RM-03</x:v>
      </x:c>
      <x:c r="C9" s="62" t="str">
        <x:v>PRD acceptance-criteria review</x:v>
      </x:c>
      <x:c r="D9" s="62" t="str">
        <x:v>Product</x:v>
      </x:c>
      <x:c r="E9" s="63" t="str">
        <x:v>Product Manager</x:v>
      </x:c>
      <x:c r="F9" s="63" t="str">
        <x:v>P0</x:v>
      </x:c>
      <x:c r="G9" s="63" t="str">
        <x:v>Sprint 1</x:v>
      </x:c>
      <x:c r="H9" s="63" t="str">
        <x:v>Planned</x:v>
      </x:c>
      <x:c r="I9" s="63" t="str">
        <x:v>0%</x:v>
      </x:c>
      <x:c r="J9" s="63" t="str">
        <x:v>TASK-003</x:v>
      </x:c>
      <x:c r="K9" s="63" t="str">
        <x:v>Approved PRD</x:v>
      </x:c>
      <x:c r="L9" s="63" t="str">
        <x:v>Explicit exclusions</x:v>
      </x:c>
    </x:row>
    <x:row r="10">
      <x:c r="A10" s="62" t="str">
        <x:v>TASK-005</x:v>
      </x:c>
      <x:c r="B10" s="62" t="str">
        <x:v>RM-04</x:v>
      </x:c>
      <x:c r="C10" s="62" t="str">
        <x:v>Threat-model identity linking</x:v>
      </x:c>
      <x:c r="D10" s="62" t="str">
        <x:v>Security</x:v>
      </x:c>
      <x:c r="E10" s="63" t="str">
        <x:v>Security/Privacy</x:v>
      </x:c>
      <x:c r="F10" s="63" t="str">
        <x:v>P0</x:v>
      </x:c>
      <x:c r="G10" s="63" t="str">
        <x:v>Sprint 1</x:v>
      </x:c>
      <x:c r="H10" s="63" t="str">
        <x:v>Planned</x:v>
      </x:c>
      <x:c r="I10" s="63" t="str">
        <x:v>0%</x:v>
      </x:c>
      <x:c r="J10" s="63" t="str">
        <x:v>TASK-004</x:v>
      </x:c>
      <x:c r="K10" s="63" t="str">
        <x:v>Threat model</x:v>
      </x:c>
      <x:c r="L10" s="63" t="str">
        <x:v>Shared-device and recycled-number cases</x:v>
      </x:c>
    </x:row>
    <x:row r="11">
      <x:c r="A11" s="62" t="str">
        <x:v>TASK-006</x:v>
      </x:c>
      <x:c r="B11" s="62" t="str">
        <x:v>RM-05</x:v>
      </x:c>
      <x:c r="C11" s="62" t="str">
        <x:v>Define and approve savings method</x:v>
      </x:c>
      <x:c r="D11" s="62" t="str">
        <x:v>Data</x:v>
      </x:c>
      <x:c r="E11" s="63" t="str">
        <x:v>Product + Data</x:v>
      </x:c>
      <x:c r="F11" s="63" t="str">
        <x:v>P0</x:v>
      </x:c>
      <x:c r="G11" s="63" t="str">
        <x:v>Sprint 1</x:v>
      </x:c>
      <x:c r="H11" s="63" t="str">
        <x:v>Planned</x:v>
      </x:c>
      <x:c r="I11" s="63" t="str">
        <x:v>0%</x:v>
      </x:c>
      <x:c r="J11" s="63" t="str">
        <x:v>TASK-004</x:v>
      </x:c>
      <x:c r="K11" s="63" t="str">
        <x:v>Method note</x:v>
      </x:c>
      <x:c r="L11" s="63" t="str">
        <x:v>Pricing/legal review as applicable</x:v>
      </x:c>
    </x:row>
    <x:row r="12">
      <x:c r="A12" s="62" t="str">
        <x:v>TASK-007</x:v>
      </x:c>
      <x:c r="B12" s="62" t="str">
        <x:v>RM-06</x:v>
      </x:c>
      <x:c r="C12" s="62" t="str">
        <x:v>Design all empty/error/restricted states</x:v>
      </x:c>
      <x:c r="D12" s="62" t="str">
        <x:v>Design</x:v>
      </x:c>
      <x:c r="E12" s="63" t="str">
        <x:v>Designer</x:v>
      </x:c>
      <x:c r="F12" s="63" t="str">
        <x:v>P1</x:v>
      </x:c>
      <x:c r="G12" s="63" t="str">
        <x:v>Sprint 2</x:v>
      </x:c>
      <x:c r="H12" s="63" t="str">
        <x:v>Planned</x:v>
      </x:c>
      <x:c r="I12" s="63" t="str">
        <x:v>0%</x:v>
      </x:c>
      <x:c r="J12" s="63" t="str">
        <x:v>TASK-005, TASK-006</x:v>
      </x:c>
      <x:c r="K12" s="63" t="str">
        <x:v>Design handoff</x:v>
      </x:c>
      <x:c r="L12" s="63" t="str">
        <x:v>Accessibility annotations</x:v>
      </x:c>
    </x:row>
    <x:row r="13">
      <x:c r="A13" s="62" t="str">
        <x:v>TASK-008</x:v>
      </x:c>
      <x:c r="B13" s="62" t="str">
        <x:v>RM-07</x:v>
      </x:c>
      <x:c r="C13" s="62" t="str">
        <x:v>Publish event schema and replay contract</x:v>
      </x:c>
      <x:c r="D13" s="62" t="str">
        <x:v>Engineering</x:v>
      </x:c>
      <x:c r="E13" s="63" t="str">
        <x:v>Backend Engineer</x:v>
      </x:c>
      <x:c r="F13" s="63" t="str">
        <x:v>P0</x:v>
      </x:c>
      <x:c r="G13" s="63" t="str">
        <x:v>Sprint 2</x:v>
      </x:c>
      <x:c r="H13" s="63" t="str">
        <x:v>Planned</x:v>
      </x:c>
      <x:c r="I13" s="63" t="str">
        <x:v>0%</x:v>
      </x:c>
      <x:c r="J13" s="63" t="str">
        <x:v>TASK-004</x:v>
      </x:c>
      <x:c r="K13" s="63" t="str">
        <x:v>Contract</x:v>
      </x:c>
      <x:c r="L13" s="63" t="str">
        <x:v>Idempotency key documented</x:v>
      </x:c>
    </x:row>
    <x:row r="14">
      <x:c r="A14" s="62" t="str">
        <x:v>TASK-009</x:v>
      </x:c>
      <x:c r="B14" s="62" t="str">
        <x:v>RM-08</x:v>
      </x:c>
      <x:c r="C14" s="62" t="str">
        <x:v>Implement unique match and unmatched state</x:v>
      </x:c>
      <x:c r="D14" s="62" t="str">
        <x:v>Engineering</x:v>
      </x:c>
      <x:c r="E14" s="63" t="str">
        <x:v>Backend Engineer</x:v>
      </x:c>
      <x:c r="F14" s="63" t="str">
        <x:v>P0</x:v>
      </x:c>
      <x:c r="G14" s="63" t="str">
        <x:v>Sprint 2</x:v>
      </x:c>
      <x:c r="H14" s="63" t="str">
        <x:v>Planned</x:v>
      </x:c>
      <x:c r="I14" s="63" t="str">
        <x:v>0%</x:v>
      </x:c>
      <x:c r="J14" s="63" t="str">
        <x:v>TASK-005, TASK-008</x:v>
      </x:c>
      <x:c r="K14" s="63" t="str">
        <x:v>Staging build</x:v>
      </x:c>
      <x:c r="L14" s="63" t="str">
        <x:v>Fail closed</x:v>
      </x:c>
    </x:row>
    <x:row r="15">
      <x:c r="A15" s="62" t="str">
        <x:v>TASK-010</x:v>
      </x:c>
      <x:c r="B15" s="62" t="str">
        <x:v>RM-09</x:v>
      </x:c>
      <x:c r="C15" s="62" t="str">
        <x:v>Implement history/detail authorization</x:v>
      </x:c>
      <x:c r="D15" s="62" t="str">
        <x:v>Engineering</x:v>
      </x:c>
      <x:c r="E15" s="63" t="str">
        <x:v>App + Backend</x:v>
      </x:c>
      <x:c r="F15" s="63" t="str">
        <x:v>P0</x:v>
      </x:c>
      <x:c r="G15" s="63" t="str">
        <x:v>Sprint 2</x:v>
      </x:c>
      <x:c r="H15" s="63" t="str">
        <x:v>Planned</x:v>
      </x:c>
      <x:c r="I15" s="63" t="str">
        <x:v>0%</x:v>
      </x:c>
      <x:c r="J15" s="63" t="str">
        <x:v>TASK-007, TASK-008</x:v>
      </x:c>
      <x:c r="K15" s="63" t="str">
        <x:v>Staging build</x:v>
      </x:c>
      <x:c r="L15" s="63" t="str">
        <x:v>Direct URL denied</x:v>
      </x:c>
    </x:row>
    <x:row r="16">
      <x:c r="A16" s="62" t="str">
        <x:v>TASK-011</x:v>
      </x:c>
      <x:c r="B16" s="62" t="str">
        <x:v>RM-10</x:v>
      </x:c>
      <x:c r="C16" s="62" t="str">
        <x:v>Implement invoice open/retry/support</x:v>
      </x:c>
      <x:c r="D16" s="62" t="str">
        <x:v>Engineering</x:v>
      </x:c>
      <x:c r="E16" s="63" t="str">
        <x:v>App Engineer</x:v>
      </x:c>
      <x:c r="F16" s="63" t="str">
        <x:v>P1</x:v>
      </x:c>
      <x:c r="G16" s="63" t="str">
        <x:v>Sprint 2</x:v>
      </x:c>
      <x:c r="H16" s="63" t="str">
        <x:v>Planned</x:v>
      </x:c>
      <x:c r="I16" s="63" t="str">
        <x:v>0%</x:v>
      </x:c>
      <x:c r="J16" s="63" t="str">
        <x:v>TASK-010</x:v>
      </x:c>
      <x:c r="K16" s="63" t="str">
        <x:v>Staging build</x:v>
      </x:c>
      <x:c r="L16" s="63" t="str">
        <x:v>Secured reference</x:v>
      </x:c>
    </x:row>
    <x:row r="17">
      <x:c r="A17" s="62" t="str">
        <x:v>TASK-012</x:v>
      </x:c>
      <x:c r="B17" s="62" t="str">
        <x:v>RM-11</x:v>
      </x:c>
      <x:c r="C17" s="62" t="str">
        <x:v>Implement savings method/version UI</x:v>
      </x:c>
      <x:c r="D17" s="62" t="str">
        <x:v>Engineering</x:v>
      </x:c>
      <x:c r="E17" s="63" t="str">
        <x:v>App + Data</x:v>
      </x:c>
      <x:c r="F17" s="63" t="str">
        <x:v>P0</x:v>
      </x:c>
      <x:c r="G17" s="63" t="str">
        <x:v>Sprint 2</x:v>
      </x:c>
      <x:c r="H17" s="63" t="str">
        <x:v>Planned</x:v>
      </x:c>
      <x:c r="I17" s="63" t="str">
        <x:v>0%</x:v>
      </x:c>
      <x:c r="J17" s="63" t="str">
        <x:v>TASK-006, TASK-010</x:v>
      </x:c>
      <x:c r="K17" s="63" t="str">
        <x:v>Staging build</x:v>
      </x:c>
      <x:c r="L17" s="63" t="str">
        <x:v>Suppress unavailable</x:v>
      </x:c>
    </x:row>
    <x:row r="18">
      <x:c r="A18" s="62" t="str">
        <x:v>TASK-013</x:v>
      </x:c>
      <x:c r="B18" s="62" t="str">
        <x:v>RM-12</x:v>
      </x:c>
      <x:c r="C18" s="62" t="str">
        <x:v>Implement report issue and protection</x:v>
      </x:c>
      <x:c r="D18" s="62" t="str">
        <x:v>Engineering</x:v>
      </x:c>
      <x:c r="E18" s="63" t="str">
        <x:v>App + Backend</x:v>
      </x:c>
      <x:c r="F18" s="63" t="str">
        <x:v>P0</x:v>
      </x:c>
      <x:c r="G18" s="63" t="str">
        <x:v>Sprint 2</x:v>
      </x:c>
      <x:c r="H18" s="63" t="str">
        <x:v>Planned</x:v>
      </x:c>
      <x:c r="I18" s="63" t="str">
        <x:v>0%</x:v>
      </x:c>
      <x:c r="J18" s="63" t="str">
        <x:v>TASK-010</x:v>
      </x:c>
      <x:c r="K18" s="63" t="str">
        <x:v>Staging build</x:v>
      </x:c>
      <x:c r="L18" s="63" t="str">
        <x:v>Not-mine immediate protection</x:v>
      </x:c>
    </x:row>
    <x:row r="19">
      <x:c r="A19" s="62" t="str">
        <x:v>TASK-014</x:v>
      </x:c>
      <x:c r="B19" s="62" t="str">
        <x:v>RM-13</x:v>
      </x:c>
      <x:c r="C19" s="62" t="str">
        <x:v>Configure support queue and owners</x:v>
      </x:c>
      <x:c r="D19" s="62" t="str">
        <x:v>Operations</x:v>
      </x:c>
      <x:c r="E19" s="63" t="str">
        <x:v>Product Ops</x:v>
      </x:c>
      <x:c r="F19" s="63" t="str">
        <x:v>P1</x:v>
      </x:c>
      <x:c r="G19" s="63" t="str">
        <x:v>Sprint 3</x:v>
      </x:c>
      <x:c r="H19" s="63" t="str">
        <x:v>Planned</x:v>
      </x:c>
      <x:c r="I19" s="63" t="str">
        <x:v>0%</x:v>
      </x:c>
      <x:c r="J19" s="63" t="str">
        <x:v>TASK-013</x:v>
      </x:c>
      <x:c r="K19" s="63" t="str">
        <x:v>Support workflow</x:v>
      </x:c>
      <x:c r="L19" s="63" t="str">
        <x:v>SOP briefed</x:v>
      </x:c>
    </x:row>
    <x:row r="20">
      <x:c r="A20" s="62" t="str">
        <x:v>TASK-015</x:v>
      </x:c>
      <x:c r="B20" s="62" t="str">
        <x:v>RM-14</x:v>
      </x:c>
      <x:c r="C20" s="62" t="str">
        <x:v>Run P0 functional/integration cases</x:v>
      </x:c>
      <x:c r="D20" s="62" t="str">
        <x:v>QA</x:v>
      </x:c>
      <x:c r="E20" s="63" t="str">
        <x:v>QA Owner</x:v>
      </x:c>
      <x:c r="F20" s="63" t="str">
        <x:v>P0</x:v>
      </x:c>
      <x:c r="G20" s="63" t="str">
        <x:v>Sprint 3</x:v>
      </x:c>
      <x:c r="H20" s="63" t="str">
        <x:v>Planned</x:v>
      </x:c>
      <x:c r="I20" s="63" t="str">
        <x:v>0%</x:v>
      </x:c>
      <x:c r="J20" s="63" t="str">
        <x:v>TASK-009–TASK-013</x:v>
      </x:c>
      <x:c r="K20" s="63" t="str">
        <x:v>QA evidence</x:v>
      </x:c>
      <x:c r="L20" s="63" t="str">
        <x:v>Link failed cases to defects</x:v>
      </x:c>
    </x:row>
    <x:row r="21">
      <x:c r="A21" s="62" t="str">
        <x:v>TASK-016</x:v>
      </x:c>
      <x:c r="B21" s="62" t="str">
        <x:v>RM-15</x:v>
      </x:c>
      <x:c r="C21" s="62" t="str">
        <x:v>Run privacy/security/accessibility set</x:v>
      </x:c>
      <x:c r="D21" s="62" t="str">
        <x:v>QA</x:v>
      </x:c>
      <x:c r="E21" s="63" t="str">
        <x:v>QA + Security</x:v>
      </x:c>
      <x:c r="F21" s="63" t="str">
        <x:v>P0</x:v>
      </x:c>
      <x:c r="G21" s="63" t="str">
        <x:v>Sprint 3</x:v>
      </x:c>
      <x:c r="H21" s="63" t="str">
        <x:v>Planned</x:v>
      </x:c>
      <x:c r="I21" s="63" t="str">
        <x:v>0%</x:v>
      </x:c>
      <x:c r="J21" s="63" t="str">
        <x:v>TASK-009–TASK-013</x:v>
      </x:c>
      <x:c r="K21" s="63" t="str">
        <x:v>Review reports</x:v>
      </x:c>
      <x:c r="L21" s="63" t="str">
        <x:v>Zero exposure tolerance</x:v>
      </x:c>
    </x:row>
    <x:row r="22">
      <x:c r="A22" s="62" t="str">
        <x:v>TASK-017</x:v>
      </x:c>
      <x:c r="B22" s="62" t="str">
        <x:v>RM-16</x:v>
      </x:c>
      <x:c r="C22" s="62" t="str">
        <x:v>Validate analytics allowlist and alerts</x:v>
      </x:c>
      <x:c r="D22" s="62" t="str">
        <x:v>Analytics</x:v>
      </x:c>
      <x:c r="E22" s="63" t="str">
        <x:v>Analytics Owner</x:v>
      </x:c>
      <x:c r="F22" s="63" t="str">
        <x:v>P1</x:v>
      </x:c>
      <x:c r="G22" s="63" t="str">
        <x:v>Sprint 3</x:v>
      </x:c>
      <x:c r="H22" s="63" t="str">
        <x:v>Planned</x:v>
      </x:c>
      <x:c r="I22" s="63" t="str">
        <x:v>0%</x:v>
      </x:c>
      <x:c r="J22" s="63" t="str">
        <x:v>TASK-010, TASK-012, TASK-013</x:v>
      </x:c>
      <x:c r="K22" s="63" t="str">
        <x:v>Event evidence</x:v>
      </x:c>
      <x:c r="L22" s="63" t="str">
        <x:v>Exclude medicine/free text</x:v>
      </x:c>
    </x:row>
    <x:row r="23">
      <x:c r="A23" s="62" t="str">
        <x:v>TASK-018</x:v>
      </x:c>
      <x:c r="B23" s="62" t="str">
        <x:v>RM-17</x:v>
      </x:c>
      <x:c r="C23" s="62" t="str">
        <x:v>Complete release-control evidence review</x:v>
      </x:c>
      <x:c r="D23" s="62" t="str">
        <x:v>Release</x:v>
      </x:c>
      <x:c r="E23" s="63" t="str">
        <x:v>Product Manager</x:v>
      </x:c>
      <x:c r="F23" s="63" t="str">
        <x:v>P0</x:v>
      </x:c>
      <x:c r="G23" s="63" t="str">
        <x:v>Sprint 3</x:v>
      </x:c>
      <x:c r="H23" s="63" t="str">
        <x:v>Planned</x:v>
      </x:c>
      <x:c r="I23" s="63" t="str">
        <x:v>0%</x:v>
      </x:c>
      <x:c r="J23" s="63" t="str">
        <x:v>TASK-014–TASK-017</x:v>
      </x:c>
      <x:c r="K23" s="63" t="str">
        <x:v>Decision log</x:v>
      </x:c>
      <x:c r="L23" s="63" t="str">
        <x:v>Human go/no-go</x:v>
      </x:c>
    </x:row>
    <x:row r="24">
      <x:c r="A24" s="62" t="str">
        <x:v>TASK-019</x:v>
      </x:c>
      <x:c r="B24" s="62" t="str">
        <x:v>RM-18</x:v>
      </x:c>
      <x:c r="C24" s="62" t="str">
        <x:v>Configure pilot feature flag and cohort</x:v>
      </x:c>
      <x:c r="D24" s="62" t="str">
        <x:v>Release</x:v>
      </x:c>
      <x:c r="E24" s="63" t="str">
        <x:v>Release Owner</x:v>
      </x:c>
      <x:c r="F24" s="63" t="str">
        <x:v>P0</x:v>
      </x:c>
      <x:c r="G24" s="63" t="str">
        <x:v>Pilot</x:v>
      </x:c>
      <x:c r="H24" s="63" t="str">
        <x:v>Planned</x:v>
      </x:c>
      <x:c r="I24" s="63" t="str">
        <x:v>0%</x:v>
      </x:c>
      <x:c r="J24" s="63" t="str">
        <x:v>TASK-018</x:v>
      </x:c>
      <x:c r="K24" s="63" t="str">
        <x:v>Configuration</x:v>
      </x:c>
      <x:c r="L24" s="63" t="str">
        <x:v>Rollback tested</x:v>
      </x:c>
    </x:row>
    <x:row r="25">
      <x:c r="A25" s="64" t="str">
        <x:v>TASK-020</x:v>
      </x:c>
      <x:c r="B25" s="64" t="str">
        <x:v>RM-19</x:v>
      </x:c>
      <x:c r="C25" s="64" t="str">
        <x:v>Run daily pilot review</x:v>
      </x:c>
      <x:c r="D25" s="64" t="str">
        <x:v>Pilot</x:v>
      </x:c>
      <x:c r="E25" s="65" t="str">
        <x:v>Cross-functional</x:v>
      </x:c>
      <x:c r="F25" s="65" t="str">
        <x:v>P0</x:v>
      </x:c>
      <x:c r="G25" s="65" t="str">
        <x:v>Pilot</x:v>
      </x:c>
      <x:c r="H25" s="65" t="str">
        <x:v>Planned</x:v>
      </x:c>
      <x:c r="I25" s="65" t="str">
        <x:v>0%</x:v>
      </x:c>
      <x:c r="J25" s="65" t="str">
        <x:v>TASK-019</x:v>
      </x:c>
      <x:c r="K25" s="65" t="str">
        <x:v>Daily log</x:v>
      </x:c>
      <x:c r="L25" s="65" t="str">
        <x:v>Expand/hold/rollback decision</x:v>
      </x:c>
    </x:row>
  </x:sheetData>
  <x:mergeCells>
    <x:mergeCell ref="A1:L1"/>
    <x:mergeCell ref="A2:L2"/>
    <x:mergeCell ref="A4:L4"/>
  </x:mergeCells>
  <x:conditionalFormatting sqref="H6:H205">
    <x:cfRule type="cellIs" dxfId="2" priority="1" operator="equal">
      <x:formula>"Complete"</x:formula>
    </x:cfRule>
    <x:cfRule type="cellIs" dxfId="3" priority="2" operator="equal">
      <x:formula>"Blocked"</x:formula>
    </x:cfRule>
  </x:conditionalFormatting>
  <x:dataValidations count="4">
    <x:dataValidation type="list" sqref="F6:F205">
      <x:formula1>"P0,P1,P2,P3"</x:formula1>
    </x:dataValidation>
    <x:dataValidation type="list" sqref="G6:G205">
      <x:formula1>"Sprint 1,Sprint 2,Sprint 3,Pilot,Backlog"</x:formula1>
    </x:dataValidation>
    <x:dataValidation type="list" sqref="H6:H205">
      <x:formula1>"Planned,In Progress,In Review,Complete,Blocked,Deferred"</x:formula1>
    </x:dataValidation>
    <x:dataValidation type="list" sqref="I6:I205">
      <x:formula1>"0%,25%,50%,75%,100%"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32f480a68d44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23" hidden="0" customWidth="1"/>
    <x:col min="4" max="4" width="20" hidden="0" customWidth="1"/>
    <x:col min="5" max="5" width="31" hidden="0" customWidth="1"/>
    <x:col min="6" max="6" width="16" hidden="0" customWidth="1"/>
    <x:col min="7" max="7" width="9" hidden="0" customWidth="1"/>
    <x:col min="8" max="8" width="38" hidden="0" customWidth="1"/>
    <x:col min="9" max="9" width="34" hidden="0" customWidth="1"/>
  </x:cols>
  <x:sheetData>
    <x:row r="1" ht="33" customHeight="1">
      <x:c r="A1" s="54" t="str">
        <x:v>Dependency &amp; Risk Register</x:v>
      </x:c>
      <x:c r="B1" s="54" t="str">
        <x:v>Dependency &amp; Risk Register</x:v>
      </x:c>
      <x:c r="C1" s="54" t="str">
        <x:v>Dependency &amp; Risk Register</x:v>
      </x:c>
      <x:c r="D1" s="54" t="str">
        <x:v>Dependency &amp; Risk Register</x:v>
      </x:c>
      <x:c r="E1" s="54" t="str">
        <x:v>Dependency &amp; Risk Register</x:v>
      </x:c>
      <x:c r="F1" s="54" t="str">
        <x:v>Dependency &amp; Risk Register</x:v>
      </x:c>
      <x:c r="G1" s="54" t="str">
        <x:v>Dependency &amp; Risk Register</x:v>
      </x:c>
      <x:c r="H1" s="54" t="str">
        <x:v>Dependency &amp; Risk Register</x:v>
      </x:c>
      <x:c r="I1" s="54" t="str">
        <x:v>Dependency &amp; Risk Register</x:v>
      </x:c>
    </x:row>
    <x:row r="2" ht="27" customHeight="1">
      <x:c r="A2" s="55" t="str">
        <x:v>What must be true for safe delivery • proposed owners and mitigations</x:v>
      </x:c>
      <x:c r="B2" s="55" t="str">
        <x:v>What must be true for safe delivery • proposed owners and mitigations</x:v>
      </x:c>
      <x:c r="C2" s="55" t="str">
        <x:v>What must be true for safe delivery • proposed owners and mitigations</x:v>
      </x:c>
      <x:c r="D2" s="55" t="str">
        <x:v>What must be true for safe delivery • proposed owners and mitigations</x:v>
      </x:c>
      <x:c r="E2" s="55" t="str">
        <x:v>What must be true for safe delivery • proposed owners and mitigations</x:v>
      </x:c>
      <x:c r="F2" s="55" t="str">
        <x:v>What must be true for safe delivery • proposed owners and mitigations</x:v>
      </x:c>
      <x:c r="G2" s="55" t="str">
        <x:v>What must be true for safe delivery • proposed owners and mitigations</x:v>
      </x:c>
      <x:c r="H2" s="55" t="str">
        <x:v>What must be true for safe delivery • proposed owners and mitigations</x:v>
      </x:c>
      <x:c r="I2" s="55" t="str">
        <x:v>What must be true for safe delivery • proposed owners and mitigations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>
      <x:c r="A4" s="56"/>
      <x:c r="B4" s="56"/>
      <x:c r="C4" s="56"/>
      <x:c r="D4" s="56"/>
      <x:c r="E4" s="56"/>
      <x:c r="F4" s="56"/>
      <x:c r="G4" s="56"/>
      <x:c r="H4" s="56"/>
      <x:c r="I4" s="56"/>
    </x:row>
    <x:row r="5" ht="30" customHeight="1">
      <x:c r="A5" s="57" t="str">
        <x:v>ID</x:v>
      </x:c>
      <x:c r="B5" s="57" t="str">
        <x:v>Dependency / Risk</x:v>
      </x:c>
      <x:c r="C5" s="57" t="str">
        <x:v>Owner</x:v>
      </x:c>
      <x:c r="D5" s="57" t="str">
        <x:v>Linked Roadmap</x:v>
      </x:c>
      <x:c r="E5" s="57" t="str">
        <x:v>Need By</x:v>
      </x:c>
      <x:c r="F5" s="57" t="str">
        <x:v>Status</x:v>
      </x:c>
      <x:c r="G5" s="57" t="str">
        <x:v>Priority</x:v>
      </x:c>
      <x:c r="H5" s="57" t="str">
        <x:v>Mitigation / Fallback</x:v>
      </x:c>
      <x:c r="I5" s="57" t="str">
        <x:v>Why It Matters</x:v>
      </x:c>
    </x:row>
    <x:row r="6">
      <x:c r="A6" s="62" t="str">
        <x:v>DEP-01</x:v>
      </x:c>
      <x:c r="B6" s="62" t="str">
        <x:v>Identity matching policy</x:v>
      </x:c>
      <x:c r="C6" s="63" t="str">
        <x:v>Security/Privacy</x:v>
      </x:c>
      <x:c r="D6" s="63" t="str">
        <x:v>RM-04</x:v>
      </x:c>
      <x:c r="E6" s="63" t="str">
        <x:v>Required before implementation</x:v>
      </x:c>
      <x:c r="F6" s="63" t="str">
        <x:v>Open</x:v>
      </x:c>
      <x:c r="G6" s="63" t="str">
        <x:v>P0</x:v>
      </x:c>
      <x:c r="H6" s="63" t="str">
        <x:v>Escalate in scope review</x:v>
      </x:c>
      <x:c r="I6" s="63" t="str">
        <x:v>Cross-account exposure risk</x:v>
      </x:c>
    </x:row>
    <x:row r="7">
      <x:c r="A7" s="62" t="str">
        <x:v>DEP-02</x:v>
      </x:c>
      <x:c r="B7" s="62" t="str">
        <x:v>Savings comparator approval</x:v>
      </x:c>
      <x:c r="C7" s="63" t="str">
        <x:v>Product + Data</x:v>
      </x:c>
      <x:c r="D7" s="63" t="str">
        <x:v>RM-05</x:v>
      </x:c>
      <x:c r="E7" s="63" t="str">
        <x:v>Required before savings build</x:v>
      </x:c>
      <x:c r="F7" s="63" t="str">
        <x:v>Open</x:v>
      </x:c>
      <x:c r="G7" s="63" t="str">
        <x:v>P0</x:v>
      </x:c>
      <x:c r="H7" s="63" t="str">
        <x:v>Suppress savings module</x:v>
      </x:c>
      <x:c r="I7" s="63" t="str">
        <x:v>Never estimate</x:v>
      </x:c>
    </x:row>
    <x:row r="8">
      <x:c r="A8" s="62" t="str">
        <x:v>DEP-03</x:v>
      </x:c>
      <x:c r="B8" s="62" t="str">
        <x:v>Retail transaction event contract</x:v>
      </x:c>
      <x:c r="C8" s="63" t="str">
        <x:v>Engineering/Retail Tech</x:v>
      </x:c>
      <x:c r="D8" s="63" t="str">
        <x:v>RM-07</x:v>
      </x:c>
      <x:c r="E8" s="63" t="str">
        <x:v>Required for ingestion</x:v>
      </x:c>
      <x:c r="F8" s="63" t="str">
        <x:v>Open</x:v>
      </x:c>
      <x:c r="G8" s="63" t="str">
        <x:v>P0</x:v>
      </x:c>
      <x:c r="H8" s="63" t="str">
        <x:v>Use contract mock for early QA</x:v>
      </x:c>
      <x:c r="I8" s="63" t="str">
        <x:v>Checkout independent</x:v>
      </x:c>
    </x:row>
    <x:row r="9">
      <x:c r="A9" s="62" t="str">
        <x:v>DEP-04</x:v>
      </x:c>
      <x:c r="B9" s="62" t="str">
        <x:v>Secured invoice service</x:v>
      </x:c>
      <x:c r="C9" s="63" t="str">
        <x:v>Engineering</x:v>
      </x:c>
      <x:c r="D9" s="63" t="str">
        <x:v>RM-10</x:v>
      </x:c>
      <x:c r="E9" s="63" t="str">
        <x:v>Required for invoice action</x:v>
      </x:c>
      <x:c r="F9" s="63" t="str">
        <x:v>Open</x:v>
      </x:c>
      <x:c r="G9" s="63" t="str">
        <x:v>P1</x:v>
      </x:c>
      <x:c r="H9" s="63" t="str">
        <x:v>Show retry/support state</x:v>
      </x:c>
      <x:c r="I9" s="63" t="str">
        <x:v>No wrong invoice exposure</x:v>
      </x:c>
    </x:row>
    <x:row r="10">
      <x:c r="A10" s="62" t="str">
        <x:v>DEP-05</x:v>
      </x:c>
      <x:c r="B10" s="62" t="str">
        <x:v>Support case workflow</x:v>
      </x:c>
      <x:c r="C10" s="63" t="str">
        <x:v>Support/Ops</x:v>
      </x:c>
      <x:c r="D10" s="63" t="str">
        <x:v>RM-13</x:v>
      </x:c>
      <x:c r="E10" s="63" t="str">
        <x:v>Required before pilot</x:v>
      </x:c>
      <x:c r="F10" s="63" t="str">
        <x:v>Open</x:v>
      </x:c>
      <x:c r="G10" s="63" t="str">
        <x:v>P1</x:v>
      </x:c>
      <x:c r="H10" s="63" t="str">
        <x:v>Restrict pilot or manual approved fallback</x:v>
      </x:c>
      <x:c r="I10" s="63" t="str">
        <x:v>Owners and escalation</x:v>
      </x:c>
    </x:row>
    <x:row r="11">
      <x:c r="A11" s="62" t="str">
        <x:v>DEP-06</x:v>
      </x:c>
      <x:c r="B11" s="62" t="str">
        <x:v>Authorized staging data</x:v>
      </x:c>
      <x:c r="C11" s="63" t="str">
        <x:v>QA/Engineering</x:v>
      </x:c>
      <x:c r="D11" s="63" t="str">
        <x:v>RM-14, RM-15</x:v>
      </x:c>
      <x:c r="E11" s="63" t="str">
        <x:v>Required for execution</x:v>
      </x:c>
      <x:c r="F11" s="63" t="str">
        <x:v>Open</x:v>
      </x:c>
      <x:c r="G11" s="63" t="str">
        <x:v>P0</x:v>
      </x:c>
      <x:c r="H11" s="63" t="str">
        <x:v>Synthetic deterministic dataset</x:v>
      </x:c>
      <x:c r="I11" s="63" t="str">
        <x:v>No production PII</x:v>
      </x:c>
    </x:row>
    <x:row r="12">
      <x:c r="A12" s="62" t="str">
        <x:v>DEP-07</x:v>
      </x:c>
      <x:c r="B12" s="62" t="str">
        <x:v>Feature flag and rollback</x:v>
      </x:c>
      <x:c r="C12" s="63" t="str">
        <x:v>Release/Engineering</x:v>
      </x:c>
      <x:c r="D12" s="63" t="str">
        <x:v>RM-17, RM-18</x:v>
      </x:c>
      <x:c r="E12" s="63" t="str">
        <x:v>Required before pilot</x:v>
      </x:c>
      <x:c r="F12" s="63" t="str">
        <x:v>Open</x:v>
      </x:c>
      <x:c r="G12" s="63" t="str">
        <x:v>P0</x:v>
      </x:c>
      <x:c r="H12" s="63" t="str">
        <x:v>No pilot until verified</x:v>
      </x:c>
      <x:c r="I12" s="63" t="str">
        <x:v>Containment control</x:v>
      </x:c>
    </x:row>
    <x:row r="13">
      <x:c r="A13" s="62" t="str">
        <x:v>DEP-08</x:v>
      </x:c>
      <x:c r="B13" s="62" t="str">
        <x:v>Store briefing and contacts</x:v>
      </x:c>
      <x:c r="C13" s="63" t="str">
        <x:v>Retail Ops</x:v>
      </x:c>
      <x:c r="D13" s="63" t="str">
        <x:v>RM-18</x:v>
      </x:c>
      <x:c r="E13" s="63" t="str">
        <x:v>Required before pilot</x:v>
      </x:c>
      <x:c r="F13" s="63" t="str">
        <x:v>Open</x:v>
      </x:c>
      <x:c r="G13" s="63" t="str">
        <x:v>P1</x:v>
      </x:c>
      <x:c r="H13" s="63" t="str">
        <x:v>Delay affected stores</x:v>
      </x:c>
      <x:c r="I13" s="63" t="str">
        <x:v>Checkout continuity</x:v>
      </x:c>
    </x:row>
    <x:row r="14">
      <x:c r="A14" s="64" t="str">
        <x:v>DEP-09</x:v>
      </x:c>
      <x:c r="B14" s="64" t="str">
        <x:v>Privacy-safe analytics schema</x:v>
      </x:c>
      <x:c r="C14" s="65" t="str">
        <x:v>Analytics/Privacy</x:v>
      </x:c>
      <x:c r="D14" s="65" t="str">
        <x:v>RM-16</x:v>
      </x:c>
      <x:c r="E14" s="65" t="str">
        <x:v>Required before pilot</x:v>
      </x:c>
      <x:c r="F14" s="65" t="str">
        <x:v>Open</x:v>
      </x:c>
      <x:c r="G14" s="65" t="str">
        <x:v>P1</x:v>
      </x:c>
      <x:c r="H14" s="65" t="str">
        <x:v>Disable nonessential events</x:v>
      </x:c>
      <x:c r="I14" s="65" t="str">
        <x:v>Data minimization</x:v>
      </x:c>
    </x:row>
  </x:sheetData>
  <x:mergeCells>
    <x:mergeCell ref="A1:I1"/>
    <x:mergeCell ref="A2:I2"/>
  </x:mergeCells>
  <x:conditionalFormatting sqref="F6:F105">
    <x:cfRule type="cellIs" dxfId="4" priority="1" operator="equal">
      <x:formula>"Resolved"</x:formula>
    </x:cfRule>
    <x:cfRule type="cellIs" dxfId="5" priority="2" operator="equal">
      <x:formula>"Blocked"</x:formula>
    </x:cfRule>
  </x:conditionalFormatting>
  <x:dataValidations count="2">
    <x:dataValidation type="list" sqref="F6:F105">
      <x:formula1>"Open,In Progress,Resolved,Accepted,Blocked"</x:formula1>
    </x:dataValidation>
    <x:dataValidation type="list" sqref="G6:G105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7e54f87a040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" hidden="0" customWidth="1"/>
  </x:cols>
  <x:sheetData>
    <x:row r="1" ht="33" customHeight="1">
      <x:c r="A1" s="54" t="str">
        <x:v>Weekly Product Status — Template</x:v>
      </x:c>
      <x:c r="B1" s="54" t="str">
        <x:v>Weekly Product Status — Template</x:v>
      </x:c>
      <x:c r="C1" s="54" t="str">
        <x:v>Weekly Product Status — Template</x:v>
      </x:c>
      <x:c r="D1" s="54" t="str">
        <x:v>Weekly Product Status — Template</x:v>
      </x:c>
      <x:c r="E1" s="54" t="str">
        <x:v>Weekly Product Status — Template</x:v>
      </x:c>
      <x:c r="F1" s="54" t="str">
        <x:v>Weekly Product Status — Template</x:v>
      </x:c>
      <x:c r="G1" s="54" t="str">
        <x:v>Weekly Product Status — Template</x:v>
      </x:c>
      <x:c r="H1" s="54" t="str">
        <x:v>Weekly Product Status — Template</x:v>
      </x:c>
    </x:row>
    <x:row r="2" ht="27" customHeight="1">
      <x:c r="A2" s="55" t="str">
        <x:v>Use one concise page per reporting week • sample content is explicitly illustrative</x:v>
      </x:c>
      <x:c r="B2" s="55" t="str">
        <x:v>Use one concise page per reporting week • sample content is explicitly illustrative</x:v>
      </x:c>
      <x:c r="C2" s="55" t="str">
        <x:v>Use one concise page per reporting week • sample content is explicitly illustrative</x:v>
      </x:c>
      <x:c r="D2" s="55" t="str">
        <x:v>Use one concise page per reporting week • sample content is explicitly illustrative</x:v>
      </x:c>
      <x:c r="E2" s="55" t="str">
        <x:v>Use one concise page per reporting week • sample content is explicitly illustrative</x:v>
      </x:c>
      <x:c r="F2" s="55" t="str">
        <x:v>Use one concise page per reporting week • sample content is explicitly illustrative</x:v>
      </x:c>
      <x:c r="G2" s="55" t="str">
        <x:v>Use one concise page per reporting week • sample content is explicitly illustrative</x:v>
      </x:c>
      <x:c r="H2" s="55" t="str">
        <x:v>Use one concise page per reporting week • sample content is explicitly illustrative</x:v>
      </x:c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30" customHeight="1">
      <x:c r="A4" s="56"/>
      <x:c r="B4" s="57" t="str">
        <x:v>Reporting information</x:v>
      </x:c>
      <x:c r="C4" s="57" t="str">
        <x:v>Reporting information</x:v>
      </x:c>
      <x:c r="D4" s="57" t="str">
        <x:v>Reporting information</x:v>
      </x:c>
      <x:c r="E4" s="57" t="str">
        <x:v>Reporting information</x:v>
      </x:c>
      <x:c r="F4" s="57" t="str">
        <x:v>Reporting information</x:v>
      </x:c>
      <x:c r="G4" s="57" t="str">
        <x:v>Reporting information</x:v>
      </x:c>
      <x:c r="H4" s="56"/>
    </x:row>
    <x:row r="5">
      <x:c r="A5" s="56"/>
      <x:c r="B5" s="71" t="str">
        <x:v>Week / period</x:v>
      </x:c>
      <x:c r="C5" s="71" t="str">
        <x:v>Week / period</x:v>
      </x:c>
      <x:c r="D5" s="72" t="str">
        <x:v>W0 — Portfolio planning example</x:v>
      </x:c>
      <x:c r="E5" s="72" t="str">
        <x:v>W0 — Portfolio planning example</x:v>
      </x:c>
      <x:c r="F5" s="72" t="str">
        <x:v>W0 — Portfolio planning example</x:v>
      </x:c>
      <x:c r="G5" s="72" t="str">
        <x:v>W0 — Portfolio planning example</x:v>
      </x:c>
      <x:c r="H5" s="56"/>
    </x:row>
    <x:row r="6">
      <x:c r="A6" s="56"/>
      <x:c r="B6" s="71" t="str">
        <x:v>Overall status</x:v>
      </x:c>
      <x:c r="C6" s="71" t="str">
        <x:v>Overall status</x:v>
      </x:c>
      <x:c r="D6" s="72" t="str">
        <x:v>Planning — execution not started</x:v>
      </x:c>
      <x:c r="E6" s="72" t="str">
        <x:v>Planning — execution not started</x:v>
      </x:c>
      <x:c r="F6" s="72" t="str">
        <x:v>Planning — execution not started</x:v>
      </x:c>
      <x:c r="G6" s="72" t="str">
        <x:v>Planning — execution not started</x:v>
      </x:c>
      <x:c r="H6" s="56"/>
    </x:row>
    <x:row r="7">
      <x:c r="A7" s="56"/>
      <x:c r="B7" s="71" t="str">
        <x:v>Owner</x:v>
      </x:c>
      <x:c r="C7" s="71" t="str">
        <x:v>Owner</x:v>
      </x:c>
      <x:c r="D7" s="72" t="str">
        <x:v>Proposed: Product Associate</x:v>
      </x:c>
      <x:c r="E7" s="72" t="str">
        <x:v>Proposed: Product Associate</x:v>
      </x:c>
      <x:c r="F7" s="72" t="str">
        <x:v>Proposed: Product Associate</x:v>
      </x:c>
      <x:c r="G7" s="72" t="str">
        <x:v>Proposed: Product Associate</x:v>
      </x:c>
      <x:c r="H7" s="56"/>
    </x:row>
    <x:row r="8">
      <x:c r="A8" s="56"/>
      <x:c r="B8" s="56"/>
      <x:c r="C8" s="56"/>
      <x:c r="D8" s="56"/>
      <x:c r="E8" s="56"/>
      <x:c r="F8" s="56"/>
      <x:c r="G8" s="56"/>
      <x:c r="H8" s="56"/>
    </x:row>
    <x:row r="9" ht="30" customHeight="1">
      <x:c r="A9" s="56"/>
      <x:c r="B9" s="57" t="str">
        <x:v>Executive summary</x:v>
      </x:c>
      <x:c r="C9" s="57" t="str">
        <x:v>Executive summary</x:v>
      </x:c>
      <x:c r="D9" s="57" t="str">
        <x:v>Executive summary</x:v>
      </x:c>
      <x:c r="E9" s="57" t="str">
        <x:v>Executive summary</x:v>
      </x:c>
      <x:c r="F9" s="57" t="str">
        <x:v>Executive summary</x:v>
      </x:c>
      <x:c r="G9" s="57" t="str">
        <x:v>Executive summary</x:v>
      </x:c>
      <x:c r="H9" s="56"/>
    </x:row>
    <x:row r="10">
      <x:c r="A10" s="56"/>
      <x:c r="B10" s="60" t="str">
        <x:v>The proposed MVP is documented through PRD, feature specification, workflows, prototype, QA plan and operational artifacts. Execution remains pending internal validation, authorized testing and owner approval.</x:v>
      </x:c>
      <x:c r="C10" s="60" t="str">
        <x:v>The proposed MVP is documented through PRD, feature specification, workflows, prototype, QA plan and operational artifacts. Execution remains pending internal validation, authorized testing and owner approval.</x:v>
      </x:c>
      <x:c r="D10" s="60" t="str">
        <x:v>The proposed MVP is documented through PRD, feature specification, workflows, prototype, QA plan and operational artifacts. Execution remains pending internal validation, authorized testing and owner approval.</x:v>
      </x:c>
      <x:c r="E10" s="60" t="str">
        <x:v>The proposed MVP is documented through PRD, feature specification, workflows, prototype, QA plan and operational artifacts. Execution remains pending internal validation, authorized testing and owner approval.</x:v>
      </x:c>
      <x:c r="F10" s="60" t="str">
        <x:v>The proposed MVP is documented through PRD, feature specification, workflows, prototype, QA plan and operational artifacts. Execution remains pending internal validation, authorized testing and owner approval.</x:v>
      </x:c>
      <x:c r="G10" s="60" t="str">
        <x:v>The proposed MVP is documented through PRD, feature specification, workflows, prototype, QA plan and operational artifacts. Execution remains pending internal validation, authorized testing and owner approval.</x:v>
      </x:c>
      <x:c r="H10" s="56"/>
    </x:row>
    <x:row r="11">
      <x:c r="A11" s="56"/>
      <x:c r="B11" s="60" t="str">
        <x:v>The proposed MVP is documented through PRD, feature specification, workflows, prototype, QA plan and operational artifacts. Execution remains pending internal validation, authorized testing and owner approval.</x:v>
      </x:c>
      <x:c r="C11" s="60" t="str">
        <x:v>The proposed MVP is documented through PRD, feature specification, workflows, prototype, QA plan and operational artifacts. Execution remains pending internal validation, authorized testing and owner approval.</x:v>
      </x:c>
      <x:c r="D11" s="60" t="str">
        <x:v>The proposed MVP is documented through PRD, feature specification, workflows, prototype, QA plan and operational artifacts. Execution remains pending internal validation, authorized testing and owner approval.</x:v>
      </x:c>
      <x:c r="E11" s="60" t="str">
        <x:v>The proposed MVP is documented through PRD, feature specification, workflows, prototype, QA plan and operational artifacts. Execution remains pending internal validation, authorized testing and owner approval.</x:v>
      </x:c>
      <x:c r="F11" s="60" t="str">
        <x:v>The proposed MVP is documented through PRD, feature specification, workflows, prototype, QA plan and operational artifacts. Execution remains pending internal validation, authorized testing and owner approval.</x:v>
      </x:c>
      <x:c r="G11" s="60" t="str">
        <x:v>The proposed MVP is documented through PRD, feature specification, workflows, prototype, QA plan and operational artifacts. Execution remains pending internal validation, authorized testing and owner approval.</x:v>
      </x:c>
      <x:c r="H11" s="56"/>
    </x:row>
    <x:row r="12" ht="30" customHeight="1">
      <x:c r="A12" s="56"/>
      <x:c r="B12" s="57" t="str">
        <x:v>Completed this week</x:v>
      </x:c>
      <x:c r="C12" s="57" t="str">
        <x:v>Completed this week</x:v>
      </x:c>
      <x:c r="D12" s="57" t="str">
        <x:v>Completed this week</x:v>
      </x:c>
      <x:c r="E12" s="57" t="str">
        <x:v>Completed this week</x:v>
      </x:c>
      <x:c r="F12" s="57" t="str">
        <x:v>Completed this week</x:v>
      </x:c>
      <x:c r="G12" s="57" t="str">
        <x:v>Completed this week</x:v>
      </x:c>
      <x:c r="H12" s="56"/>
    </x:row>
    <x:row r="13">
      <x:c r="A13" s="56"/>
      <x:c r="B13" s="73" t="str">
        <x:v>• Consolidated MVP scope and exclusions.
• Created QA and release controls.
• Drafted support SOP, customer guide and process playbook.</x:v>
      </x:c>
      <x:c r="C13" s="73" t="str">
        <x:v>• Consolidated MVP scope and exclusions.
• Created QA and release controls.
• Drafted support SOP, customer guide and process playbook.</x:v>
      </x:c>
      <x:c r="D13" s="73" t="str">
        <x:v>• Consolidated MVP scope and exclusions.
• Created QA and release controls.
• Drafted support SOP, customer guide and process playbook.</x:v>
      </x:c>
      <x:c r="E13" s="73" t="str">
        <x:v>• Consolidated MVP scope and exclusions.
• Created QA and release controls.
• Drafted support SOP, customer guide and process playbook.</x:v>
      </x:c>
      <x:c r="F13" s="73" t="str">
        <x:v>• Consolidated MVP scope and exclusions.
• Created QA and release controls.
• Drafted support SOP, customer guide and process playbook.</x:v>
      </x:c>
      <x:c r="G13" s="73" t="str">
        <x:v>• Consolidated MVP scope and exclusions.
• Created QA and release controls.
• Drafted support SOP, customer guide and process playbook.</x:v>
      </x:c>
      <x:c r="H13" s="56"/>
    </x:row>
    <x:row r="14">
      <x:c r="A14" s="56"/>
      <x:c r="B14" s="73" t="str">
        <x:v>• Consolidated MVP scope and exclusions.
• Created QA and release controls.
• Drafted support SOP, customer guide and process playbook.</x:v>
      </x:c>
      <x:c r="C14" s="73" t="str">
        <x:v>• Consolidated MVP scope and exclusions.
• Created QA and release controls.
• Drafted support SOP, customer guide and process playbook.</x:v>
      </x:c>
      <x:c r="D14" s="73" t="str">
        <x:v>• Consolidated MVP scope and exclusions.
• Created QA and release controls.
• Drafted support SOP, customer guide and process playbook.</x:v>
      </x:c>
      <x:c r="E14" s="73" t="str">
        <x:v>• Consolidated MVP scope and exclusions.
• Created QA and release controls.
• Drafted support SOP, customer guide and process playbook.</x:v>
      </x:c>
      <x:c r="F14" s="73" t="str">
        <x:v>• Consolidated MVP scope and exclusions.
• Created QA and release controls.
• Drafted support SOP, customer guide and process playbook.</x:v>
      </x:c>
      <x:c r="G14" s="73" t="str">
        <x:v>• Consolidated MVP scope and exclusions.
• Created QA and release controls.
• Drafted support SOP, customer guide and process playbook.</x:v>
      </x:c>
      <x:c r="H14" s="56"/>
    </x:row>
    <x:row r="15">
      <x:c r="A15" s="56"/>
      <x:c r="B15" s="56"/>
      <x:c r="C15" s="56"/>
      <x:c r="D15" s="56"/>
      <x:c r="E15" s="56"/>
      <x:c r="F15" s="56"/>
      <x:c r="G15" s="56"/>
      <x:c r="H15" s="56"/>
    </x:row>
    <x:row r="16" ht="30" customHeight="1">
      <x:c r="A16" s="56"/>
      <x:c r="B16" s="57" t="str">
        <x:v>Next week</x:v>
      </x:c>
      <x:c r="C16" s="57" t="str">
        <x:v>Next week</x:v>
      </x:c>
      <x:c r="D16" s="57" t="str">
        <x:v>Next week</x:v>
      </x:c>
      <x:c r="E16" s="57" t="str">
        <x:v>Next week</x:v>
      </x:c>
      <x:c r="F16" s="57" t="str">
        <x:v>Next week</x:v>
      </x:c>
      <x:c r="G16" s="57" t="str">
        <x:v>Next week</x:v>
      </x:c>
      <x:c r="H16" s="56"/>
    </x:row>
    <x:row r="17">
      <x:c r="A17" s="56"/>
      <x:c r="B17" s="74" t="str">
        <x:v>• Validate assumptions with Product, Retail Operations and Security/Privacy.
• Run concept interviews.
• Convert approved decisions into implementation tickets.</x:v>
      </x:c>
      <x:c r="C17" s="74" t="str">
        <x:v>• Validate assumptions with Product, Retail Operations and Security/Privacy.
• Run concept interviews.
• Convert approved decisions into implementation tickets.</x:v>
      </x:c>
      <x:c r="D17" s="74" t="str">
        <x:v>• Validate assumptions with Product, Retail Operations and Security/Privacy.
• Run concept interviews.
• Convert approved decisions into implementation tickets.</x:v>
      </x:c>
      <x:c r="E17" s="74" t="str">
        <x:v>• Validate assumptions with Product, Retail Operations and Security/Privacy.
• Run concept interviews.
• Convert approved decisions into implementation tickets.</x:v>
      </x:c>
      <x:c r="F17" s="74" t="str">
        <x:v>• Validate assumptions with Product, Retail Operations and Security/Privacy.
• Run concept interviews.
• Convert approved decisions into implementation tickets.</x:v>
      </x:c>
      <x:c r="G17" s="74" t="str">
        <x:v>• Validate assumptions with Product, Retail Operations and Security/Privacy.
• Run concept interviews.
• Convert approved decisions into implementation tickets.</x:v>
      </x:c>
      <x:c r="H17" s="56"/>
    </x:row>
    <x:row r="18">
      <x:c r="A18" s="56"/>
      <x:c r="B18" s="74" t="str">
        <x:v>• Validate assumptions with Product, Retail Operations and Security/Privacy.
• Run concept interviews.
• Convert approved decisions into implementation tickets.</x:v>
      </x:c>
      <x:c r="C18" s="74" t="str">
        <x:v>• Validate assumptions with Product, Retail Operations and Security/Privacy.
• Run concept interviews.
• Convert approved decisions into implementation tickets.</x:v>
      </x:c>
      <x:c r="D18" s="74" t="str">
        <x:v>• Validate assumptions with Product, Retail Operations and Security/Privacy.
• Run concept interviews.
• Convert approved decisions into implementation tickets.</x:v>
      </x:c>
      <x:c r="E18" s="74" t="str">
        <x:v>• Validate assumptions with Product, Retail Operations and Security/Privacy.
• Run concept interviews.
• Convert approved decisions into implementation tickets.</x:v>
      </x:c>
      <x:c r="F18" s="74" t="str">
        <x:v>• Validate assumptions with Product, Retail Operations and Security/Privacy.
• Run concept interviews.
• Convert approved decisions into implementation tickets.</x:v>
      </x:c>
      <x:c r="G18" s="74" t="str">
        <x:v>• Validate assumptions with Product, Retail Operations and Security/Privacy.
• Run concept interviews.
• Convert approved decisions into implementation tickets.</x:v>
      </x:c>
      <x:c r="H18" s="56"/>
    </x:row>
    <x:row r="19">
      <x:c r="A19" s="56"/>
      <x:c r="B19" s="56"/>
      <x:c r="C19" s="56"/>
      <x:c r="D19" s="56"/>
      <x:c r="E19" s="56"/>
      <x:c r="F19" s="56"/>
      <x:c r="G19" s="56"/>
      <x:c r="H19" s="56"/>
    </x:row>
    <x:row r="20" ht="30" customHeight="1">
      <x:c r="A20" s="56"/>
      <x:c r="B20" s="57" t="str">
        <x:v>Risks / blockers</x:v>
      </x:c>
      <x:c r="C20" s="57" t="str">
        <x:v>Risks / blockers</x:v>
      </x:c>
      <x:c r="D20" s="57" t="str">
        <x:v>Risks / blockers</x:v>
      </x:c>
      <x:c r="E20" s="57" t="str">
        <x:v>Risks / blockers</x:v>
      </x:c>
      <x:c r="F20" s="57" t="str">
        <x:v>Risks / blockers</x:v>
      </x:c>
      <x:c r="G20" s="57" t="str">
        <x:v>Risks / blockers</x:v>
      </x:c>
      <x:c r="H20" s="56"/>
    </x:row>
    <x:row r="21">
      <x:c r="A21" s="56"/>
      <x:c r="B21" s="75" t="str">
        <x:v>• No access to internal retail architecture.
• Identity/matching policy not approved.
• Savings comparator not approved.
• Proposed timelines and owners are unvalidated.</x:v>
      </x:c>
      <x:c r="C21" s="75" t="str">
        <x:v>• No access to internal retail architecture.
• Identity/matching policy not approved.
• Savings comparator not approved.
• Proposed timelines and owners are unvalidated.</x:v>
      </x:c>
      <x:c r="D21" s="75" t="str">
        <x:v>• No access to internal retail architecture.
• Identity/matching policy not approved.
• Savings comparator not approved.
• Proposed timelines and owners are unvalidated.</x:v>
      </x:c>
      <x:c r="E21" s="75" t="str">
        <x:v>• No access to internal retail architecture.
• Identity/matching policy not approved.
• Savings comparator not approved.
• Proposed timelines and owners are unvalidated.</x:v>
      </x:c>
      <x:c r="F21" s="75" t="str">
        <x:v>• No access to internal retail architecture.
• Identity/matching policy not approved.
• Savings comparator not approved.
• Proposed timelines and owners are unvalidated.</x:v>
      </x:c>
      <x:c r="G21" s="75" t="str">
        <x:v>• No access to internal retail architecture.
• Identity/matching policy not approved.
• Savings comparator not approved.
• Proposed timelines and owners are unvalidated.</x:v>
      </x:c>
      <x:c r="H21" s="56"/>
    </x:row>
    <x:row r="22">
      <x:c r="A22" s="56"/>
      <x:c r="B22" s="75" t="str">
        <x:v>• No access to internal retail architecture.
• Identity/matching policy not approved.
• Savings comparator not approved.
• Proposed timelines and owners are unvalidated.</x:v>
      </x:c>
      <x:c r="C22" s="75" t="str">
        <x:v>• No access to internal retail architecture.
• Identity/matching policy not approved.
• Savings comparator not approved.
• Proposed timelines and owners are unvalidated.</x:v>
      </x:c>
      <x:c r="D22" s="75" t="str">
        <x:v>• No access to internal retail architecture.
• Identity/matching policy not approved.
• Savings comparator not approved.
• Proposed timelines and owners are unvalidated.</x:v>
      </x:c>
      <x:c r="E22" s="75" t="str">
        <x:v>• No access to internal retail architecture.
• Identity/matching policy not approved.
• Savings comparator not approved.
• Proposed timelines and owners are unvalidated.</x:v>
      </x:c>
      <x:c r="F22" s="75" t="str">
        <x:v>• No access to internal retail architecture.
• Identity/matching policy not approved.
• Savings comparator not approved.
• Proposed timelines and owners are unvalidated.</x:v>
      </x:c>
      <x:c r="G22" s="75" t="str">
        <x:v>• No access to internal retail architecture.
• Identity/matching policy not approved.
• Savings comparator not approved.
• Proposed timelines and owners are unvalidated.</x:v>
      </x:c>
      <x:c r="H22" s="56"/>
    </x:row>
    <x:row r="23">
      <x:c r="A23" s="56"/>
      <x:c r="B23" s="56"/>
      <x:c r="C23" s="56"/>
      <x:c r="D23" s="56"/>
      <x:c r="E23" s="56"/>
      <x:c r="F23" s="56"/>
      <x:c r="G23" s="56"/>
      <x:c r="H23" s="56"/>
    </x:row>
    <x:row r="24">
      <x:c r="A24" s="56"/>
      <x:c r="B24" s="56"/>
      <x:c r="C24" s="56"/>
      <x:c r="D24" s="56"/>
      <x:c r="E24" s="56"/>
      <x:c r="F24" s="56"/>
      <x:c r="G24" s="56"/>
      <x:c r="H24" s="56"/>
    </x:row>
    <x:row r="25" ht="30" customHeight="1">
      <x:c r="A25" s="56"/>
      <x:c r="B25" s="57" t="str">
        <x:v>Decisions needed</x:v>
      </x:c>
      <x:c r="C25" s="57" t="str">
        <x:v>Decisions needed</x:v>
      </x:c>
      <x:c r="D25" s="57" t="str">
        <x:v>Decisions needed</x:v>
      </x:c>
      <x:c r="E25" s="57" t="str">
        <x:v>Decisions needed</x:v>
      </x:c>
      <x:c r="F25" s="57" t="str">
        <x:v>Decisions needed</x:v>
      </x:c>
      <x:c r="G25" s="57" t="str">
        <x:v>Decisions needed</x:v>
      </x:c>
      <x:c r="H25" s="56"/>
    </x:row>
    <x:row r="26">
      <x:c r="A26" s="56"/>
      <x:c r="B26" s="76" t="str">
        <x:v>1. Confirm whether the problem is worth solving now.
2. Approve MVP boundaries.
3. Select identity/matching approach.
4. Approve savings comparison method and pilot owner.</x:v>
      </x:c>
      <x:c r="C26" s="76" t="str">
        <x:v>1. Confirm whether the problem is worth solving now.
2. Approve MVP boundaries.
3. Select identity/matching approach.
4. Approve savings comparison method and pilot owner.</x:v>
      </x:c>
      <x:c r="D26" s="76" t="str">
        <x:v>1. Confirm whether the problem is worth solving now.
2. Approve MVP boundaries.
3. Select identity/matching approach.
4. Approve savings comparison method and pilot owner.</x:v>
      </x:c>
      <x:c r="E26" s="76" t="str">
        <x:v>1. Confirm whether the problem is worth solving now.
2. Approve MVP boundaries.
3. Select identity/matching approach.
4. Approve savings comparison method and pilot owner.</x:v>
      </x:c>
      <x:c r="F26" s="76" t="str">
        <x:v>1. Confirm whether the problem is worth solving now.
2. Approve MVP boundaries.
3. Select identity/matching approach.
4. Approve savings comparison method and pilot owner.</x:v>
      </x:c>
      <x:c r="G26" s="76" t="str">
        <x:v>1. Confirm whether the problem is worth solving now.
2. Approve MVP boundaries.
3. Select identity/matching approach.
4. Approve savings comparison method and pilot owner.</x:v>
      </x:c>
      <x:c r="H26" s="56"/>
    </x:row>
    <x:row r="27">
      <x:c r="A27" s="56"/>
      <x:c r="B27" s="76" t="str">
        <x:v>1. Confirm whether the problem is worth solving now.
2. Approve MVP boundaries.
3. Select identity/matching approach.
4. Approve savings comparison method and pilot owner.</x:v>
      </x:c>
      <x:c r="C27" s="76" t="str">
        <x:v>1. Confirm whether the problem is worth solving now.
2. Approve MVP boundaries.
3. Select identity/matching approach.
4. Approve savings comparison method and pilot owner.</x:v>
      </x:c>
      <x:c r="D27" s="76" t="str">
        <x:v>1. Confirm whether the problem is worth solving now.
2. Approve MVP boundaries.
3. Select identity/matching approach.
4. Approve savings comparison method and pilot owner.</x:v>
      </x:c>
      <x:c r="E27" s="76" t="str">
        <x:v>1. Confirm whether the problem is worth solving now.
2. Approve MVP boundaries.
3. Select identity/matching approach.
4. Approve savings comparison method and pilot owner.</x:v>
      </x:c>
      <x:c r="F27" s="76" t="str">
        <x:v>1. Confirm whether the problem is worth solving now.
2. Approve MVP boundaries.
3. Select identity/matching approach.
4. Approve savings comparison method and pilot owner.</x:v>
      </x:c>
      <x:c r="G27" s="76" t="str">
        <x:v>1. Confirm whether the problem is worth solving now.
2. Approve MVP boundaries.
3. Select identity/matching approach.
4. Approve savings comparison method and pilot owner.</x:v>
      </x:c>
      <x:c r="H27" s="56"/>
    </x:row>
    <x:row r="28">
      <x:c r="A28" s="56"/>
      <x:c r="B28" s="56"/>
      <x:c r="C28" s="56"/>
      <x:c r="D28" s="56"/>
      <x:c r="E28" s="56"/>
      <x:c r="F28" s="56"/>
      <x:c r="G28" s="56"/>
      <x:c r="H28" s="56"/>
    </x:row>
    <x:row r="29">
      <x:c r="A29" s="56"/>
      <x:c r="B29" s="77" t="str">
        <x:v>Reminder: report facts, decisions and risks. Label assumptions and do not convert planned work into claimed outcomes.</x:v>
      </x:c>
      <x:c r="C29" s="77" t="str">
        <x:v>Reminder: report facts, decisions and risks. Label assumptions and do not convert planned work into claimed outcomes.</x:v>
      </x:c>
      <x:c r="D29" s="77" t="str">
        <x:v>Reminder: report facts, decisions and risks. Label assumptions and do not convert planned work into claimed outcomes.</x:v>
      </x:c>
      <x:c r="E29" s="77" t="str">
        <x:v>Reminder: report facts, decisions and risks. Label assumptions and do not convert planned work into claimed outcomes.</x:v>
      </x:c>
      <x:c r="F29" s="77" t="str">
        <x:v>Reminder: report facts, decisions and risks. Label assumptions and do not convert planned work into claimed outcomes.</x:v>
      </x:c>
      <x:c r="G29" s="77" t="str">
        <x:v>Reminder: report facts, decisions and risks. Label assumptions and do not convert planned work into claimed outcomes.</x:v>
      </x:c>
      <x:c r="H29" s="56"/>
    </x:row>
  </x:sheetData>
  <x:mergeCells>
    <x:mergeCell ref="A1:H1"/>
    <x:mergeCell ref="A2:H2"/>
    <x:mergeCell ref="B4:G4"/>
    <x:mergeCell ref="B5:C5"/>
    <x:mergeCell ref="D5:G5"/>
    <x:mergeCell ref="B6:C6"/>
    <x:mergeCell ref="D6:G6"/>
    <x:mergeCell ref="B7:C7"/>
    <x:mergeCell ref="D7:G7"/>
    <x:mergeCell ref="B9:G9"/>
    <x:mergeCell ref="B10:G11"/>
    <x:mergeCell ref="B12:G12"/>
    <x:mergeCell ref="B13:G14"/>
    <x:mergeCell ref="B16:G16"/>
    <x:mergeCell ref="B17:G18"/>
    <x:mergeCell ref="B20:G20"/>
    <x:mergeCell ref="B21:G22"/>
    <x:mergeCell ref="B25:G25"/>
    <x:mergeCell ref="B26:G27"/>
    <x:mergeCell ref="B29:G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55" hidden="0" customWidth="1"/>
  </x:cols>
  <x:sheetData>
    <x:row r="1" ht="33" customHeight="1">
      <x:c r="A1" s="54" t="str">
        <x:v>Execution Workbook Guide</x:v>
      </x:c>
      <x:c r="B1" s="54" t="str">
        <x:v>Execution Workbook Guide</x:v>
      </x:c>
      <x:c r="C1" s="54" t="str">
        <x:v>Execution Workbook Guide</x:v>
      </x:c>
    </x:row>
    <x:row r="2" ht="27" customHeight="1">
      <x:c r="A2" s="55" t="str">
        <x:v>How to present and maintain this portfolio artifact honestly</x:v>
      </x:c>
      <x:c r="B2" s="55" t="str">
        <x:v>How to present and maintain this portfolio artifact honestly</x:v>
      </x:c>
      <x:c r="C2" s="55" t="str">
        <x:v>How to present and maintain this portfolio artifact honestly</x:v>
      </x:c>
    </x:row>
    <x:row r="3">
      <x:c r="A3" s="56"/>
      <x:c r="B3" s="56"/>
      <x:c r="C3" s="56"/>
    </x:row>
    <x:row r="4">
      <x:c r="A4" s="56"/>
      <x:c r="B4" s="56"/>
      <x:c r="C4" s="56"/>
    </x:row>
    <x:row r="5" ht="30" customHeight="1">
      <x:c r="A5" s="57" t="str">
        <x:v>Item</x:v>
      </x:c>
      <x:c r="B5" s="57" t="str">
        <x:v>Meaning</x:v>
      </x:c>
      <x:c r="C5" s="57" t="str">
        <x:v>Portfolio use</x:v>
      </x:c>
    </x:row>
    <x:row r="6">
      <x:c r="A6" s="62" t="str">
        <x:v>Roadmap</x:v>
      </x:c>
      <x:c r="B6" s="62" t="str">
        <x:v>Outcome sequence with gates, owners and dependencies.</x:v>
      </x:c>
      <x:c r="C6" s="62" t="str">
        <x:v>Show that you can order work from discovery to pilot.</x:v>
      </x:c>
    </x:row>
    <x:row r="7">
      <x:c r="A7" s="62" t="str">
        <x:v>RICE</x:v>
      </x:c>
      <x:c r="B7" s="62" t="str">
        <x:v>Reach × Impact × Confidence ÷ Effort.</x:v>
      </x:c>
      <x:c r="C7" s="62" t="str">
        <x:v>Explain assumptions; do not defend the score as objective truth.</x:v>
      </x:c>
    </x:row>
    <x:row r="8">
      <x:c r="A8" s="62" t="str">
        <x:v>MoSCoW</x:v>
      </x:c>
      <x:c r="B8" s="62" t="str">
        <x:v>Must, Should, Could and Won't have for this MVP.</x:v>
      </x:c>
      <x:c r="C8" s="62" t="str">
        <x:v>Use explicit exclusions to protect focus.</x:v>
      </x:c>
    </x:row>
    <x:row r="9">
      <x:c r="A9" s="62" t="str">
        <x:v>Task tracker</x:v>
      </x:c>
      <x:c r="B9" s="62" t="str">
        <x:v>Actionable work with owner, dependency and evidence.</x:v>
      </x:c>
      <x:c r="C9" s="62" t="str">
        <x:v>Demonstrates coordination and accountability.</x:v>
      </x:c>
    </x:row>
    <x:row r="10">
      <x:c r="A10" s="62" t="str">
        <x:v>Dependency register</x:v>
      </x:c>
      <x:c r="B10" s="62" t="str">
        <x:v>Conditions and risks outside a task owner's direct control.</x:v>
      </x:c>
      <x:c r="C10" s="62" t="str">
        <x:v>Show early escalation and safe fallbacks.</x:v>
      </x:c>
    </x:row>
    <x:row r="11">
      <x:c r="A11" s="62" t="str">
        <x:v>Weekly status</x:v>
      </x:c>
      <x:c r="B11" s="62" t="str">
        <x:v>Concise outcomes, next work, risks and decisions.</x:v>
      </x:c>
      <x:c r="C11" s="62" t="str">
        <x:v>Demonstrates stakeholder communication.</x:v>
      </x:c>
    </x:row>
    <x:row r="12">
      <x:c r="A12" s="62" t="str">
        <x:v>Complete</x:v>
      </x:c>
      <x:c r="B12" s="62" t="str">
        <x:v>Deliverable exists and definition of done is met.</x:v>
      </x:c>
      <x:c r="C12" s="62" t="str">
        <x:v>Do not use for drafted or unverified work.</x:v>
      </x:c>
    </x:row>
    <x:row r="13">
      <x:c r="A13" s="62" t="str">
        <x:v>Evidence</x:v>
      </x:c>
      <x:c r="B13" s="62" t="str">
        <x:v>Authorized output, test result, decision or link.</x:v>
      </x:c>
      <x:c r="C13" s="62" t="str">
        <x:v>Never include customer PII or medicine details.</x:v>
      </x:c>
    </x:row>
    <x:row r="14">
      <x:c r="A14" s="62" t="str">
        <x:v>Suggested walkthrough</x:v>
      </x:c>
      <x:c r="B14" s="62" t="str">
        <x:v>Dashboard → Roadmap → Prioritization → one task/dependency → Weekly Status.</x:v>
      </x:c>
      <x:c r="C14" s="62" t="str">
        <x:v>Keep to 3–4 minutes, then invite discussion.</x:v>
      </x:c>
    </x:row>
    <x:row r="15">
      <x:c r="A15" s="64" t="str">
        <x:v>Disclosure</x:v>
      </x:c>
      <x:c r="B15" s="64" t="str">
        <x:v>All internal owners, dates, scores and states are proposed examples.</x:v>
      </x:c>
      <x:c r="C15" s="64" t="str">
        <x:v>Say this before presenting the workbook.</x:v>
      </x:c>
    </x:row>
  </x:sheetData>
  <x:mergeCells>
    <x:mergeCell ref="A1:C1"/>
    <x:mergeCell ref="A2:C2"/>
  </x:mergeCells>
  <x:pageMargins left="0.7" right="0.7" top="0.75" bottom="0.75" header="0.3" footer="0.3"/>
</x:worksheet>
</file>