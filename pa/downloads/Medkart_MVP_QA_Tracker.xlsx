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ad61f00c6ed4e49" /></Relationships>
</file>

<file path=xl/workbook.xml><?xml version="1.0" encoding="utf-8"?>
<x:workbook xmlns:x="http://schemas.openxmlformats.org/spreadsheetml/2006/main">
  <x:sheets>
    <x:sheet xmlns:r="http://schemas.openxmlformats.org/officeDocument/2006/relationships" name="QA_Dashboard" sheetId="1" r:id="Rb87751a3bd484a9d"/>
    <x:sheet xmlns:r="http://schemas.openxmlformats.org/officeDocument/2006/relationships" name="Test_Cases" sheetId="2" r:id="R30658060e5294424"/>
    <x:sheet xmlns:r="http://schemas.openxmlformats.org/officeDocument/2006/relationships" name="Bug_Reports" sheetId="3" r:id="Rd04fbafb6dbd42cf"/>
    <x:sheet xmlns:r="http://schemas.openxmlformats.org/officeDocument/2006/relationships" name="Release_Checklist" sheetId="4" r:id="R21f90f7d26b046ab"/>
    <x:sheet xmlns:r="http://schemas.openxmlformats.org/officeDocument/2006/relationships" name="Coverage_Matrix" sheetId="5" r:id="R121265b730704429"/>
    <x:sheet xmlns:r="http://schemas.openxmlformats.org/officeDocument/2006/relationships" name="Read_Me" sheetId="6" r:id="R6326c7fff1db4831"/>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20">
    <x:font>
      <x:sz val="11"/>
      <x:name val="Carlito"/>
    </x:font>
    <x:font>
      <x:b/>
      <x:sz val="20"/>
      <x:color rgb="FFFFFFFF"/>
      <x:name val="Carlito"/>
    </x:font>
    <x:font>
      <x:i/>
      <x:sz val="10"/>
      <x:color rgb="FF1F2933"/>
      <x:name val="Carlito"/>
    </x:font>
    <x:font>
      <x:b/>
      <x:sz val="11"/>
      <x:color rgb="FFFFFFFF"/>
      <x:name val="Carlito"/>
    </x:font>
    <x:font>
      <x:b/>
      <x:sz val="11"/>
      <x:color rgb="FF667085"/>
      <x:name val="Carlito"/>
    </x:font>
    <x:font>
      <x:b/>
      <x:sz val="18"/>
      <x:color rgb="FF0B6F68"/>
      <x:name val="Carlito"/>
    </x:font>
    <x:font>
      <x:b/>
      <x:sz val="16"/>
      <x:color rgb="FF1F2933"/>
      <x:name val="Carlito"/>
    </x:font>
    <x:font>
      <x:sz val="11"/>
      <x:color rgb="FF1F2933"/>
      <x:name val="Carlito"/>
    </x:font>
    <x:font>
      <x:b/>
      <x:sz val="11"/>
      <x:color rgb="FF1F2933"/>
      <x:name val="Carlito"/>
    </x:font>
    <x:font>
      <x:sz val="10"/>
      <x:color rgb="FF1F2933"/>
      <x:name val="Carlito"/>
    </x:font>
    <x:font>
      <x:b/>
      <x:sz val="20"/>
      <x:color rgb="FFFFFFFF"/>
      <x:name val="Aptos"/>
    </x:font>
    <x:font>
      <x:i/>
      <x:sz val="10"/>
      <x:color rgb="FF1F2933"/>
      <x:name val="Aptos"/>
    </x:font>
    <x:font>
      <x:sz val="11"/>
      <x:name val="Aptos"/>
    </x:font>
    <x:font>
      <x:b/>
      <x:sz val="11"/>
      <x:color rgb="FFFFFFFF"/>
      <x:name val="Aptos"/>
    </x:font>
    <x:font>
      <x:b/>
      <x:sz val="11"/>
      <x:color rgb="FF667085"/>
      <x:name val="Aptos"/>
    </x:font>
    <x:font>
      <x:b/>
      <x:sz val="18"/>
      <x:color rgb="FF0B6F68"/>
      <x:name val="Aptos"/>
    </x:font>
    <x:font>
      <x:b/>
      <x:sz val="16"/>
      <x:color rgb="FF1F2933"/>
      <x:name val="Aptos"/>
    </x:font>
    <x:font>
      <x:sz val="11"/>
      <x:color rgb="FF1F2933"/>
      <x:name val="Aptos"/>
    </x:font>
    <x:font>
      <x:b/>
      <x:sz val="11"/>
      <x:color rgb="FF1F2933"/>
      <x:name val="Aptos"/>
    </x:font>
    <x:font>
      <x:sz val="10"/>
      <x:color rgb="FF1F2933"/>
      <x:name val="Aptos"/>
    </x:font>
  </x:fonts>
  <x:fills count="10">
    <x:fill>
      <x:patternFill patternType="none"/>
    </x:fill>
    <x:fill>
      <x:patternFill patternType="gray125"/>
    </x:fill>
    <x:fill>
      <x:patternFill patternType="solid">
        <x:fgColor rgb="FF0B6F68"/>
      </x:patternFill>
    </x:fill>
    <x:fill>
      <x:patternFill patternType="solid">
        <x:fgColor rgb="FFEAF4F2"/>
      </x:patternFill>
    </x:fill>
    <x:fill>
      <x:patternFill patternType="solid">
        <x:fgColor rgb="FF1F2933"/>
      </x:patternFill>
    </x:fill>
    <x:fill>
      <x:patternFill patternType="solid">
        <x:fgColor rgb="FFF4F6F8"/>
      </x:patternFill>
    </x:fill>
    <x:fill>
      <x:patternFill patternType="solid">
        <x:fgColor rgb="FFFFFFFF"/>
      </x:patternFill>
    </x:fill>
    <x:fill>
      <x:patternFill patternType="solid">
        <x:fgColor rgb="FFFFF4D6"/>
      </x:patternFill>
    </x:fill>
    <x:fill>
      <x:patternFill patternType="solid">
        <x:fgColor rgb="FFE8F1FC"/>
      </x:patternFill>
    </x:fill>
    <x:fill>
      <x:patternFill patternType="solid">
        <x:fgColor rgb="FFFFF2CC"/>
      </x:patternFill>
    </x:fill>
  </x:fills>
  <x:borders count="3">
    <x:border/>
    <x:border>
      <x:bottom style="medium">
        <x:color rgb="FF0B6F68"/>
      </x:bottom>
    </x:border>
    <x:border>
      <x:bottom style="thin">
        <x:color rgb="FFD0D5DD"/>
      </x:bottom>
    </x:border>
  </x:borders>
  <x:cellStyleXfs count="1">
    <x:xf numFmtId="0" fontId="0" fillId="0" borderId="0"/>
  </x:cellStyleXfs>
  <x:cellXfs count="5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horizontal="center"/>
    </x:xf>
    <x:xf numFmtId="0" fontId="0" fillId="6" borderId="0" xfId="0" applyNumberFormat="1" applyFont="1" applyFill="1" applyBorder="1"/>
    <x:xf numFmtId="0" fontId="5" fillId="6" borderId="0"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center"/>
    </x:xf>
    <x:xf numFmtId="200" fontId="5" fillId="6" borderId="1" xfId="0" applyNumberFormat="1" applyFont="1" applyFill="1" applyBorder="1" applyAlignment="1">
      <x:alignment horizontal="center"/>
    </x:xf>
    <x:xf numFmtId="0" fontId="0" fillId="7" borderId="0" xfId="0" applyNumberFormat="1" applyFont="1" applyFill="1" applyBorder="1"/>
    <x:xf numFmtId="0" fontId="6" fillId="7" borderId="0" xfId="0" applyNumberFormat="1" applyFont="1" applyFill="1" applyBorder="1"/>
    <x:xf numFmtId="0" fontId="6" fillId="7" borderId="0" xfId="0" applyNumberFormat="1" applyFont="1" applyFill="1" applyBorder="1" applyAlignment="1">
      <x:alignment wrapText="1"/>
    </x:xf>
    <x:xf numFmtId="0" fontId="6" fillId="7" borderId="0" xfId="0" applyNumberFormat="1" applyFont="1" applyFill="1" applyBorder="1" applyAlignment="1">
      <x:alignment horizontal="center" wrapText="1"/>
    </x:xf>
    <x:xf numFmtId="0" fontId="6" fillId="7" borderId="0" xfId="0" applyNumberFormat="1" applyFont="1" applyFill="1" applyBorder="1" applyAlignment="1">
      <x:alignment horizontal="center" vertical="center" wrapText="1"/>
    </x:xf>
    <x:xf numFmtId="0" fontId="7" fillId="3" borderId="0" xfId="0" applyNumberFormat="1" applyFont="1" applyFill="1" applyBorder="1"/>
    <x:xf numFmtId="0" fontId="7" fillId="3" borderId="0" xfId="0" applyNumberFormat="1" applyFont="1" applyFill="1" applyBorder="1" applyAlignment="1">
      <x:alignment wrapText="1"/>
    </x:xf>
    <x:xf numFmtId="0" fontId="7" fillId="3" borderId="0" xfId="0" applyNumberFormat="1" applyFont="1" applyFill="1" applyBorder="1" applyAlignment="1">
      <x:alignment vertical="top" wrapText="1"/>
    </x:xf>
    <x:xf numFmtId="0" fontId="0" fillId="8" borderId="0" xfId="0" applyNumberFormat="1" applyFont="1" applyFill="1" applyBorder="1"/>
    <x:xf numFmtId="0" fontId="8" fillId="8" borderId="0" xfId="0" applyNumberFormat="1" applyFont="1" applyFill="1" applyBorder="1"/>
    <x:xf numFmtId="0" fontId="8" fillId="8" borderId="0" xfId="0" applyNumberFormat="1" applyFont="1" applyFill="1" applyBorder="1" applyAlignment="1">
      <x:alignment wrapText="1"/>
    </x:xf>
    <x:xf numFmtId="0" fontId="9" fillId="0" borderId="0" xfId="0" applyNumberFormat="1" applyFont="1" applyFill="1" applyBorder="1"/>
    <x:xf numFmtId="0" fontId="9" fillId="0" borderId="2" xfId="0" applyNumberFormat="1" applyFont="1" applyFill="1" applyBorder="1"/>
    <x:xf numFmtId="0" fontId="9" fillId="0" borderId="0" xfId="0" applyNumberFormat="1" applyFont="1" applyFill="1" applyBorder="1" applyAlignment="1">
      <x:alignment wrapText="1"/>
    </x:xf>
    <x:xf numFmtId="0" fontId="9" fillId="0" borderId="2" xfId="0" applyNumberFormat="1" applyFont="1" applyFill="1" applyBorder="1" applyAlignment="1">
      <x:alignment wrapText="1"/>
    </x:xf>
    <x:xf numFmtId="0" fontId="9" fillId="0" borderId="0" xfId="0" applyNumberFormat="1" applyFont="1" applyFill="1" applyBorder="1" applyAlignment="1">
      <x:alignment vertical="top" wrapText="1"/>
    </x:xf>
    <x:xf numFmtId="0" fontId="9" fillId="0" borderId="2" xfId="0" applyNumberFormat="1" applyFont="1" applyFill="1" applyBorder="1" applyAlignment="1">
      <x:alignment vertical="top" wrapText="1"/>
    </x:xf>
    <x:xf numFmtId="0" fontId="9" fillId="9" borderId="0" xfId="0" applyNumberFormat="1" applyFont="1" applyFill="1" applyBorder="1" applyAlignment="1">
      <x:alignment vertical="top" wrapText="1"/>
    </x:xf>
    <x:xf numFmtId="0" fontId="9" fillId="9" borderId="2" xfId="0" applyNumberFormat="1" applyFont="1" applyFill="1" applyBorder="1" applyAlignment="1">
      <x:alignment vertical="top" wrapText="1"/>
    </x:xf>
    <x:xf numFmtId="0" fontId="8" fillId="7" borderId="0" xfId="0" applyNumberFormat="1" applyFont="1" applyFill="1" applyBorder="1"/>
    <x:xf numFmtId="0" fontId="8" fillId="7" borderId="0" xfId="0" applyNumberFormat="1" applyFont="1" applyFill="1" applyBorder="1" applyAlignment="1">
      <x:alignment wrapText="1"/>
    </x:xf>
    <x:xf numFmtId="0" fontId="10" fillId="2" borderId="0" xfId="0" applyNumberFormat="1" applyFont="1" applyFill="1" applyBorder="1" applyAlignment="1">
      <x:alignment vertical="center"/>
    </x:xf>
    <x:xf numFmtId="0" fontId="11" fillId="3" borderId="0" xfId="0" applyNumberFormat="1" applyFont="1" applyFill="1" applyBorder="1" applyAlignment="1">
      <x:alignment wrapText="1"/>
    </x:xf>
    <x:xf numFmtId="0" fontId="12" fillId="0" borderId="0" xfId="0" applyNumberFormat="1" applyFont="1" applyFill="1" applyBorder="1"/>
    <x:xf numFmtId="0" fontId="13" fillId="4" borderId="0" xfId="0" applyNumberFormat="1" applyFont="1" applyFill="1" applyBorder="1" applyAlignment="1">
      <x:alignment vertical="center" wrapText="1"/>
    </x:xf>
    <x:xf numFmtId="0" fontId="14" fillId="5" borderId="0" xfId="0" applyNumberFormat="1" applyFont="1" applyFill="1" applyBorder="1" applyAlignment="1">
      <x:alignment horizontal="center"/>
    </x:xf>
    <x:xf numFmtId="0" fontId="15" fillId="6" borderId="1" xfId="0" applyNumberFormat="1" applyFont="1" applyFill="1" applyBorder="1" applyAlignment="1">
      <x:alignment horizontal="center"/>
    </x:xf>
    <x:xf numFmtId="200" fontId="15" fillId="6" borderId="1" xfId="0" applyNumberFormat="1" applyFont="1" applyFill="1" applyBorder="1" applyAlignment="1">
      <x:alignment horizontal="center"/>
    </x:xf>
    <x:xf numFmtId="0" fontId="16" fillId="7" borderId="0" xfId="0" applyNumberFormat="1" applyFont="1" applyFill="1" applyBorder="1" applyAlignment="1">
      <x:alignment horizontal="center" vertical="center" wrapText="1"/>
    </x:xf>
    <x:xf numFmtId="0" fontId="17" fillId="3" borderId="0" xfId="0" applyNumberFormat="1" applyFont="1" applyFill="1" applyBorder="1" applyAlignment="1">
      <x:alignment vertical="top" wrapText="1"/>
    </x:xf>
    <x:xf numFmtId="0" fontId="18" fillId="8" borderId="0" xfId="0" applyNumberFormat="1" applyFont="1" applyFill="1" applyBorder="1" applyAlignment="1">
      <x:alignment wrapText="1"/>
    </x:xf>
    <x:xf numFmtId="0" fontId="19" fillId="0" borderId="0" xfId="0" applyNumberFormat="1" applyFont="1" applyFill="1" applyBorder="1" applyAlignment="1">
      <x:alignment vertical="top" wrapText="1"/>
    </x:xf>
    <x:xf numFmtId="0" fontId="19" fillId="9" borderId="0" xfId="0" applyNumberFormat="1" applyFont="1" applyFill="1" applyBorder="1" applyAlignment="1">
      <x:alignment vertical="top" wrapText="1"/>
    </x:xf>
    <x:xf numFmtId="0" fontId="19" fillId="0" borderId="2" xfId="0" applyNumberFormat="1" applyFont="1" applyFill="1" applyBorder="1" applyAlignment="1">
      <x:alignment vertical="top" wrapText="1"/>
    </x:xf>
    <x:xf numFmtId="0" fontId="19" fillId="9" borderId="2" xfId="0" applyNumberFormat="1" applyFont="1" applyFill="1" applyBorder="1" applyAlignment="1">
      <x:alignment vertical="top" wrapText="1"/>
    </x:xf>
    <x:xf numFmtId="0" fontId="18" fillId="7" borderId="0" xfId="0" applyNumberFormat="1" applyFont="1" applyFill="1" applyBorder="1" applyAlignment="1">
      <x:alignment wrapText="1"/>
    </x:xf>
    <x:xf numFmtId="0" fontId="18" fillId="8" borderId="0" xfId="0" applyNumberFormat="1" applyFont="1" applyFill="1" applyBorder="1"/>
  </x:cellXfs>
  <x:cellStyles count="1">
    <x:cellStyle name="Normal" xfId="0"/>
  </x:cellStyles>
  <x:dxfs count="7">
    <x:dxf>
      <x:font>
        <x:b/>
        <x:color rgb="FF176B3A"/>
      </x:font>
      <x:fill>
        <x:patternFill patternType="solid">
          <x:bgColor rgb="FFE3F3E8"/>
        </x:patternFill>
      </x:fill>
    </x:dxf>
    <x:dxf>
      <x:font>
        <x:b/>
        <x:color rgb="FFB42318"/>
      </x:font>
      <x:fill>
        <x:patternFill patternType="solid">
          <x:bgColor rgb="FFFCE8E6"/>
        </x:patternFill>
      </x:fill>
    </x:dxf>
    <x:dxf>
      <x:font>
        <x:b/>
        <x:color rgb="FF8A4B08"/>
      </x:font>
      <x:fill>
        <x:patternFill patternType="solid">
          <x:bgColor rgb="FFFFF4D6"/>
        </x:patternFill>
      </x:fill>
    </x:dxf>
    <x:dxf>
      <x:font>
        <x:b/>
        <x:color rgb="FFB42318"/>
      </x:font>
      <x:fill>
        <x:patternFill patternType="solid">
          <x:bgColor rgb="FFFCE8E6"/>
        </x:patternFill>
      </x:fill>
    </x:dxf>
    <x:dxf>
      <x:font>
        <x:b/>
        <x:color rgb="FF176B3A"/>
      </x:font>
      <x:fill>
        <x:patternFill patternType="solid">
          <x:bgColor rgb="FFE3F3E8"/>
        </x:patternFill>
      </x:fill>
    </x:dxf>
    <x:dxf>
      <x:font>
        <x:b/>
        <x:color rgb="FFB42318"/>
      </x:font>
      <x:fill>
        <x:patternFill patternType="solid">
          <x:bgColor rgb="FFFCE8E6"/>
        </x:patternFill>
      </x:fill>
    </x:dxf>
    <x:dxf>
      <x:font>
        <x:b/>
        <x:color rgb="FF176B3A"/>
      </x:font>
      <x:fill>
        <x:patternFill patternType="solid">
          <x:bgColor rgb="FFE3F3E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79ff18dd6a24cbe" /><Relationship Type="http://schemas.openxmlformats.org/officeDocument/2006/relationships/theme" Target="/xl/theme/theme1.xml" Id="R259217dd98e540fb" /><Relationship Type="http://schemas.openxmlformats.org/officeDocument/2006/relationships/sharedStrings" Target="/xl/sharedStrings.xml" Id="R0b72b37358434eb2" /><Relationship Type="http://schemas.openxmlformats.org/officeDocument/2006/relationships/worksheet" Target="/xl/worksheets/sheet1.xml" Id="Rb87751a3bd484a9d" /><Relationship Type="http://schemas.openxmlformats.org/officeDocument/2006/relationships/worksheet" Target="/xl/worksheets/sheet2.xml" Id="R30658060e5294424" /><Relationship Type="http://schemas.openxmlformats.org/officeDocument/2006/relationships/worksheet" Target="/xl/worksheets/sheet3.xml" Id="Rd04fbafb6dbd42cf" /><Relationship Type="http://schemas.openxmlformats.org/officeDocument/2006/relationships/worksheet" Target="/xl/worksheets/sheet4.xml" Id="R21f90f7d26b046ab" /><Relationship Type="http://schemas.openxmlformats.org/officeDocument/2006/relationships/worksheet" Target="/xl/worksheets/sheet5.xml" Id="R121265b730704429" /><Relationship Type="http://schemas.openxmlformats.org/officeDocument/2006/relationships/worksheet" Target="/xl/worksheets/sheet6.xml" Id="R6326c7fff1db4831" /></Relationships>
</file>

<file path=xl/tables/table1.xml><?xml version="1.0" encoding="utf-8"?>
<x:table xmlns:x="http://schemas.openxmlformats.org/spreadsheetml/2006/main" id="1" name="TestCasesTable" displayName="TestCasesTable" ref="A5:M45" headerRowCount="1" totalsRowCount="0" totalsRowShown="0">
  <x:tableColumns count="13">
    <x:tableColumn id="1" name="Test ID"/>
    <x:tableColumn id="2" name="Requirement"/>
    <x:tableColumn id="3" name="Type"/>
    <x:tableColumn id="4" name="Priority"/>
    <x:tableColumn id="5" name="Scenario"/>
    <x:tableColumn id="6" name="Preconditions"/>
    <x:tableColumn id="7" name="Steps"/>
    <x:tableColumn id="8" name="Expected Result"/>
    <x:tableColumn id="9" name="Status"/>
    <x:tableColumn id="10" name="Actual Result"/>
    <x:tableColumn id="11" name="Evidence Link"/>
    <x:tableColumn id="12" name="Tester"/>
    <x:tableColumn id="13" name="Notes"/>
  </x:tableColumns>
  <x:tableStyleInfo name="TableStyleMedium2" showFirstColumn="0" showLastColumn="0" showRowStripes="1" showColumnStripes="0"/>
</x:table>
</file>

<file path=xl/tables/table2.xml><?xml version="1.0" encoding="utf-8"?>
<x:table xmlns:x="http://schemas.openxmlformats.org/spreadsheetml/2006/main" id="2" name="BugReportsTable" displayName="BugReportsTable" ref="A5:N13" headerRowCount="1" totalsRowCount="0" totalsRowShown="0">
  <x:tableColumns count="14">
    <x:tableColumn id="1" name="Bug ID"/>
    <x:tableColumn id="2" name="Evidence Type"/>
    <x:tableColumn id="3" name="Summary"/>
    <x:tableColumn id="4" name="Category"/>
    <x:tableColumn id="5" name="Severity"/>
    <x:tableColumn id="6" name="Status"/>
    <x:tableColumn id="7" name="Test ID"/>
    <x:tableColumn id="8" name="Steps to Reproduce"/>
    <x:tableColumn id="9" name="Expected"/>
    <x:tableColumn id="10" name="Observed (sample)"/>
    <x:tableColumn id="11" name="Suggested Direction"/>
    <x:tableColumn id="12" name="Owner"/>
    <x:tableColumn id="13" name="Target"/>
    <x:tableColumn id="14" name="Notes"/>
  </x:tableColumns>
  <x:tableStyleInfo name="TableStyleMedium2" showFirstColumn="0" showLastColumn="0" showRowStripes="1" showColumnStripes="0"/>
</x:table>
</file>

<file path=xl/tables/table3.xml><?xml version="1.0" encoding="utf-8"?>
<x:table xmlns:x="http://schemas.openxmlformats.org/spreadsheetml/2006/main" id="3" name="ReleaseChecklistTable" displayName="ReleaseChecklistTable" ref="A5:H22" headerRowCount="1" totalsRowCount="0" totalsRowShown="0">
  <x:tableColumns count="8">
    <x:tableColumn id="1" name="ID"/>
    <x:tableColumn id="2" name="Area"/>
    <x:tableColumn id="3" name="Priority"/>
    <x:tableColumn id="4" name="Control"/>
    <x:tableColumn id="5" name="Status"/>
    <x:tableColumn id="6" name="Owner"/>
    <x:tableColumn id="7" name="Evidence / Link"/>
    <x:tableColumn id="8" name="Gate"/>
  </x:tableColumns>
  <x:tableStyleInfo name="TableStyleMedium2" showFirstColumn="0" showLastColumn="0" showRowStripes="1" showColumnStripes="0"/>
</x:table>
</file>

<file path=xl/tables/table4.xml><?xml version="1.0" encoding="utf-8"?>
<x:table xmlns:x="http://schemas.openxmlformats.org/spreadsheetml/2006/main" id="4" name="CoverageTable" displayName="CoverageTable" ref="A5:F20" headerRowCount="1" totalsRowCount="0" totalsRowShown="0">
  <x:tableColumns count="6">
    <x:tableColumn id="1" name="Requirement"/>
    <x:tableColumn id="2" name="Capability"/>
    <x:tableColumn id="3" name="Test Cases"/>
    <x:tableColumn id="4" name="Acceptance Criteria"/>
    <x:tableColumn id="5" name="Priority"/>
    <x:tableColumn id="6" name="Coverag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f015df3619544e3" /></Relationships>
</file>

<file path=xl/worksheets/_rels/sheet3.xml.rels>&#65279;<?xml version="1.0" encoding="utf-8"?><Relationships xmlns="http://schemas.openxmlformats.org/package/2006/relationships"><Relationship Type="http://schemas.openxmlformats.org/officeDocument/2006/relationships/table" Target="/xl/tables/table2.xml" Id="Rbc186d4c78474655" /></Relationships>
</file>

<file path=xl/worksheets/_rels/sheet4.xml.rels>&#65279;<?xml version="1.0" encoding="utf-8"?><Relationships xmlns="http://schemas.openxmlformats.org/package/2006/relationships"><Relationship Type="http://schemas.openxmlformats.org/officeDocument/2006/relationships/table" Target="/xl/tables/table3.xml" Id="R73436a7937974e5d" /></Relationships>
</file>

<file path=xl/worksheets/_rels/sheet5.xml.rels>&#65279;<?xml version="1.0" encoding="utf-8"?><Relationships xmlns="http://schemas.openxmlformats.org/package/2006/relationships"><Relationship Type="http://schemas.openxmlformats.org/officeDocument/2006/relationships/table" Target="/xl/tables/table4.xml" Id="Rd76f9850ec1a4d66" /></Relationships>
</file>

<file path=xl/worksheets/sheet1.xml><?xml version="1.0" encoding="utf-8"?>
<x:worksheet xmlns:x="http://schemas.openxmlformats.org/spreadsheetml/2006/main">
  <x:sheetViews>
    <x:sheetView showGridLines="0" workbookViewId="0"/>
  </x:sheetViews>
  <x:sheetFormatPr defaultRowHeight="15"/>
  <x:cols>
    <x:col min="1" max="1" width="3" hidden="0" customWidth="1"/>
    <x:col min="2" max="2" width="24"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3" hidden="0" customWidth="1"/>
  </x:cols>
  <x:sheetData>
    <x:row r="1" ht="34" customHeight="1">
      <x:c r="A1" s="40" t="str">
        <x:v>Medkart Savings Journey — QA Control Center</x:v>
      </x:c>
      <x:c r="B1" s="40" t="str">
        <x:v>Medkart Savings Journey — QA Control Center</x:v>
      </x:c>
      <x:c r="C1" s="40" t="str">
        <x:v>Medkart Savings Journey — QA Control Center</x:v>
      </x:c>
      <x:c r="D1" s="40" t="str">
        <x:v>Medkart Savings Journey — QA Control Center</x:v>
      </x:c>
      <x:c r="E1" s="40" t="str">
        <x:v>Medkart Savings Journey — QA Control Center</x:v>
      </x:c>
      <x:c r="F1" s="40" t="str">
        <x:v>Medkart Savings Journey — QA Control Center</x:v>
      </x:c>
      <x:c r="G1" s="40" t="str">
        <x:v>Medkart Savings Journey — QA Control Center</x:v>
      </x:c>
      <x:c r="H1" s="40" t="str">
        <x:v>Medkart Savings Journey — QA Control Center</x:v>
      </x:c>
      <x:c r="I1" s="40" t="str">
        <x:v>Medkart Savings Journey — QA Control Center</x:v>
      </x:c>
    </x:row>
    <x:row r="2" ht="28" customHeight="1">
      <x:c r="A2" s="41" t="str">
        <x:v>Proposed product exercise • fictional test data • not based on production-system access or executed Medkart results</x:v>
      </x:c>
      <x:c r="B2" s="41" t="str">
        <x:v>Proposed product exercise • fictional test data • not based on production-system access or executed Medkart results</x:v>
      </x:c>
      <x:c r="C2" s="41" t="str">
        <x:v>Proposed product exercise • fictional test data • not based on production-system access or executed Medkart results</x:v>
      </x:c>
      <x:c r="D2" s="41" t="str">
        <x:v>Proposed product exercise • fictional test data • not based on production-system access or executed Medkart results</x:v>
      </x:c>
      <x:c r="E2" s="41" t="str">
        <x:v>Proposed product exercise • fictional test data • not based on production-system access or executed Medkart results</x:v>
      </x:c>
      <x:c r="F2" s="41" t="str">
        <x:v>Proposed product exercise • fictional test data • not based on production-system access or executed Medkart results</x:v>
      </x:c>
      <x:c r="G2" s="41" t="str">
        <x:v>Proposed product exercise • fictional test data • not based on production-system access or executed Medkart results</x:v>
      </x:c>
      <x:c r="H2" s="41" t="str">
        <x:v>Proposed product exercise • fictional test data • not based on production-system access or executed Medkart results</x:v>
      </x:c>
      <x:c r="I2" s="41" t="str">
        <x:v>Proposed product exercise • fictional test data • not based on production-system access or executed Medkart results</x:v>
      </x:c>
    </x:row>
    <x:row r="3">
      <x:c r="A3" s="42"/>
      <x:c r="B3" s="42"/>
      <x:c r="C3" s="42"/>
      <x:c r="D3" s="42"/>
      <x:c r="E3" s="42"/>
      <x:c r="F3" s="42"/>
      <x:c r="G3" s="42"/>
      <x:c r="H3" s="42"/>
      <x:c r="I3" s="42"/>
    </x:row>
    <x:row r="4" ht="30" customHeight="1">
      <x:c r="A4" s="42"/>
      <x:c r="B4" s="43" t="str">
        <x:v>Release view</x:v>
      </x:c>
      <x:c r="C4" s="43" t="str">
        <x:v>Release view</x:v>
      </x:c>
      <x:c r="D4" s="43" t="str">
        <x:v>Release view</x:v>
      </x:c>
      <x:c r="E4" s="43" t="str">
        <x:v>Release view</x:v>
      </x:c>
      <x:c r="F4" s="43" t="str">
        <x:v>Release view</x:v>
      </x:c>
      <x:c r="G4" s="43" t="str">
        <x:v>Release view</x:v>
      </x:c>
      <x:c r="H4" s="43" t="str">
        <x:v>Release view</x:v>
      </x:c>
      <x:c r="I4" s="42"/>
    </x:row>
    <x:row r="5">
      <x:c r="A5" s="42"/>
      <x:c r="B5" s="42"/>
      <x:c r="C5" s="42"/>
      <x:c r="D5" s="42"/>
      <x:c r="E5" s="42"/>
      <x:c r="F5" s="42"/>
      <x:c r="G5" s="42"/>
      <x:c r="H5" s="42"/>
      <x:c r="I5" s="42"/>
    </x:row>
    <x:row r="6">
      <x:c r="A6" s="42"/>
      <x:c r="B6" s="44" t="str">
        <x:v>Total cases</x:v>
      </x:c>
      <x:c r="C6" s="44" t="str">
        <x:v>Total cases</x:v>
      </x:c>
      <x:c r="D6" s="44" t="str">
        <x:v>Passed</x:v>
      </x:c>
      <x:c r="E6" s="44" t="str">
        <x:v>Passed</x:v>
      </x:c>
      <x:c r="F6" s="44" t="str">
        <x:v>Failed</x:v>
      </x:c>
      <x:c r="G6" s="44" t="str">
        <x:v>Failed</x:v>
      </x:c>
      <x:c r="H6" s="42"/>
      <x:c r="I6" s="42"/>
    </x:row>
    <x:row r="7">
      <x:c r="A7" s="42"/>
      <x:c r="B7" s="45" t="n">
        <x:f>COUNTA(Test_Cases!A6:A205)</x:f>
        <x:v>40</x:v>
      </x:c>
      <x:c r="C7" s="45"/>
      <x:c r="D7" s="45" t="n">
        <x:f>COUNTIF(Test_Cases!I6:I205,"Passed")</x:f>
        <x:v>0</x:v>
      </x:c>
      <x:c r="E7" s="45"/>
      <x:c r="F7" s="45" t="n">
        <x:f>COUNTIF(Test_Cases!I6:I205,"Failed")</x:f>
        <x:v>0</x:v>
      </x:c>
      <x:c r="G7" s="45"/>
      <x:c r="H7" s="42"/>
      <x:c r="I7" s="42"/>
    </x:row>
    <x:row r="8">
      <x:c r="A8" s="42"/>
      <x:c r="B8" s="42"/>
      <x:c r="C8" s="42"/>
      <x:c r="D8" s="42"/>
      <x:c r="E8" s="42"/>
      <x:c r="F8" s="42"/>
      <x:c r="G8" s="42"/>
      <x:c r="H8" s="42"/>
      <x:c r="I8" s="42"/>
    </x:row>
    <x:row r="9">
      <x:c r="A9" s="42"/>
      <x:c r="B9" s="44" t="str">
        <x:v>Blocked</x:v>
      </x:c>
      <x:c r="C9" s="44" t="str">
        <x:v>Blocked</x:v>
      </x:c>
      <x:c r="D9" s="44" t="str">
        <x:v>Not run</x:v>
      </x:c>
      <x:c r="E9" s="44" t="str">
        <x:v>Not run</x:v>
      </x:c>
      <x:c r="F9" s="44" t="str">
        <x:v>Open Critical</x:v>
      </x:c>
      <x:c r="G9" s="44" t="str">
        <x:v>Open Critical</x:v>
      </x:c>
      <x:c r="H9" s="42"/>
      <x:c r="I9" s="42"/>
    </x:row>
    <x:row r="10">
      <x:c r="A10" s="42"/>
      <x:c r="B10" s="45" t="n">
        <x:f>COUNTIF(Test_Cases!I6:I205,"Blocked")</x:f>
        <x:v>0</x:v>
      </x:c>
      <x:c r="C10" s="45"/>
      <x:c r="D10" s="45" t="n">
        <x:f>COUNTIF(Test_Cases!I6:I205,"Not Run")</x:f>
        <x:v>40</x:v>
      </x:c>
      <x:c r="E10" s="45"/>
      <x:c r="F10" s="45" t="n">
        <x:f>COUNTIFS(Bug_Reports!E6:E105,"Critical",Bug_Reports!F6:F105,"&lt;&gt;Closed",Bug_Reports!F6:F105,"&lt;&gt;Draft",Bug_Reports!F6:F105,"&lt;&gt;Deferred")</x:f>
        <x:v>0</x:v>
      </x:c>
      <x:c r="G10" s="45"/>
      <x:c r="H10" s="42"/>
      <x:c r="I10" s="42"/>
    </x:row>
    <x:row r="11">
      <x:c r="A11" s="42"/>
      <x:c r="B11" s="42"/>
      <x:c r="C11" s="42"/>
      <x:c r="D11" s="42"/>
      <x:c r="E11" s="42"/>
      <x:c r="F11" s="42"/>
      <x:c r="G11" s="42"/>
      <x:c r="H11" s="42"/>
      <x:c r="I11" s="42"/>
    </x:row>
    <x:row r="12">
      <x:c r="A12" s="42"/>
      <x:c r="B12" s="44" t="str">
        <x:v>Checklist complete</x:v>
      </x:c>
      <x:c r="C12" s="44" t="str">
        <x:v>Checklist complete</x:v>
      </x:c>
      <x:c r="D12" s="44" t="str">
        <x:v>Checklist total</x:v>
      </x:c>
      <x:c r="E12" s="44" t="str">
        <x:v>Checklist total</x:v>
      </x:c>
      <x:c r="F12" s="44" t="str">
        <x:v>Pass rate</x:v>
      </x:c>
      <x:c r="G12" s="44" t="str">
        <x:v>Pass rate</x:v>
      </x:c>
      <x:c r="H12" s="42"/>
      <x:c r="I12" s="42"/>
    </x:row>
    <x:row r="13">
      <x:c r="A13" s="42"/>
      <x:c r="B13" s="45" t="n">
        <x:f>COUNTIF(Release_Checklist!E6:E105,"Complete")</x:f>
        <x:v>0</x:v>
      </x:c>
      <x:c r="C13" s="45"/>
      <x:c r="D13" s="45" t="n">
        <x:f>COUNTA(Release_Checklist!A6:A105)</x:f>
        <x:v>17</x:v>
      </x:c>
      <x:c r="E13" s="45"/>
      <x:c r="F13" s="46" t="n">
        <x:f>IFERROR(COUNTIF(Test_Cases!I6:I205,"Passed")/(COUNTIF(Test_Cases!I6:I205,"Passed")+COUNTIF(Test_Cases!I6:I205,"Failed")),0)</x:f>
        <x:v>0</x:v>
      </x:c>
      <x:c r="G13" s="46"/>
      <x:c r="H13" s="42"/>
      <x:c r="I13" s="42"/>
    </x:row>
    <x:row r="14">
      <x:c r="A14" s="42"/>
      <x:c r="B14" s="42"/>
      <x:c r="C14" s="42"/>
      <x:c r="D14" s="42"/>
      <x:c r="E14" s="42"/>
      <x:c r="F14" s="42"/>
      <x:c r="G14" s="42"/>
      <x:c r="H14" s="42"/>
      <x:c r="I14" s="42"/>
    </x:row>
    <x:row r="15">
      <x:c r="A15" s="42"/>
      <x:c r="B15" s="42"/>
      <x:c r="C15" s="42"/>
      <x:c r="D15" s="42"/>
      <x:c r="E15" s="42"/>
      <x:c r="F15" s="42"/>
      <x:c r="G15" s="42"/>
      <x:c r="H15" s="42"/>
      <x:c r="I15" s="42"/>
    </x:row>
    <x:row r="16" ht="30" customHeight="1">
      <x:c r="A16" s="42"/>
      <x:c r="B16" s="43" t="str">
        <x:v>Release recommendation</x:v>
      </x:c>
      <x:c r="C16" s="43" t="str">
        <x:v>Release recommendation</x:v>
      </x:c>
      <x:c r="D16" s="43" t="str">
        <x:v>Release recommendation</x:v>
      </x:c>
      <x:c r="E16" s="43" t="str">
        <x:v>Release recommendation</x:v>
      </x:c>
      <x:c r="F16" s="43" t="str">
        <x:v>Release recommendation</x:v>
      </x:c>
      <x:c r="G16" s="43" t="str">
        <x:v>Release recommendation</x:v>
      </x:c>
      <x:c r="H16" s="43" t="str">
        <x:v>Release recommendation</x:v>
      </x:c>
      <x:c r="I16" s="42"/>
    </x:row>
    <x:row r="17" ht="28" customHeight="1">
      <x:c r="A17" s="42"/>
      <x:c r="B17" s="47" t="str">
        <x:f>IF(OR(COUNTIFS(Bug_Reports!E6:E105,"Critical",Bug_Reports!F6:F105,"&lt;&gt;Closed",Bug_Reports!F6:F105,"&lt;&gt;Draft",Bug_Reports!F6:F105,"&lt;&gt;Deferred")&gt;0,COUNTIF(Test_Cases!I6:I205,"Blocked")&gt;0,COUNTIFS(Release_Checklist!D6:D105,"P0",Release_Checklist!E6:E105,"Blocked")&gt;0),"NO-GO",IF(OR(COUNTIF(Test_Cases!I6:I205,"Not Run")&gt;0,COUNTIF(Release_Checklist!E6:E105,"Not Started")&gt;0),"NOT READY — EXECUTION PENDING","READY FOR GO/NO-GO REVIEW"))</x:f>
        <x:v>NOT READY — EXECUTION PENDING</x:v>
      </x:c>
      <x:c r="C17" s="47"/>
      <x:c r="D17" s="47"/>
      <x:c r="E17" s="47"/>
      <x:c r="F17" s="47"/>
      <x:c r="G17" s="47"/>
      <x:c r="H17" s="47"/>
      <x:c r="I17" s="42"/>
    </x:row>
    <x:row r="18" ht="28" customHeight="1">
      <x:c r="A18" s="42"/>
      <x:c r="B18" s="47"/>
      <x:c r="C18" s="47"/>
      <x:c r="D18" s="47"/>
      <x:c r="E18" s="47"/>
      <x:c r="F18" s="47"/>
      <x:c r="G18" s="47"/>
      <x:c r="H18" s="47"/>
      <x:c r="I18" s="42"/>
    </x:row>
    <x:row r="19">
      <x:c r="A19" s="42"/>
      <x:c r="B19" s="42"/>
      <x:c r="C19" s="42"/>
      <x:c r="D19" s="42"/>
      <x:c r="E19" s="42"/>
      <x:c r="F19" s="42"/>
      <x:c r="G19" s="42"/>
      <x:c r="H19" s="42"/>
      <x:c r="I19" s="42"/>
    </x:row>
    <x:row r="20">
      <x:c r="A20" s="42"/>
      <x:c r="B20" s="42"/>
      <x:c r="C20" s="42"/>
      <x:c r="D20" s="42"/>
      <x:c r="E20" s="42"/>
      <x:c r="F20" s="42"/>
      <x:c r="G20" s="42"/>
      <x:c r="H20" s="42"/>
      <x:c r="I20" s="42"/>
    </x:row>
    <x:row r="21" ht="30" customHeight="1">
      <x:c r="A21" s="42"/>
      <x:c r="B21" s="43" t="str">
        <x:v>How to use this workbook</x:v>
      </x:c>
      <x:c r="C21" s="43" t="str">
        <x:v>How to use this workbook</x:v>
      </x:c>
      <x:c r="D21" s="43" t="str">
        <x:v>How to use this workbook</x:v>
      </x:c>
      <x:c r="E21" s="43" t="str">
        <x:v>How to use this workbook</x:v>
      </x:c>
      <x:c r="F21" s="43" t="str">
        <x:v>How to use this workbook</x:v>
      </x:c>
      <x:c r="G21" s="43" t="str">
        <x:v>How to use this workbook</x:v>
      </x:c>
      <x:c r="H21" s="43" t="str">
        <x:v>How to use this workbook</x:v>
      </x:c>
      <x:c r="I21" s="42"/>
    </x:row>
    <x:row r="22">
      <x:c r="A22" s="42"/>
      <x:c r="B22" s="48" t="str">
        <x:v>1. Update Test_Cases status, Actual Result, Evidence Link and Tester.
2. Move validated defects from sample Draft status into your real workflow only after execution.
3. Complete release controls with evidence.
4. Use the dashboard recommendation as a prompt for review—not an automatic release decision.
5. Never enter patient/medicine free text or personal contact information into analytics/evidence fields.</x:v>
      </x:c>
      <x:c r="C22" s="48" t="str">
        <x:v>1. Update Test_Cases status, Actual Result, Evidence Link and Tester.
2. Move validated defects from sample Draft status into your real workflow only after execution.
3. Complete release controls with evidence.
4. Use the dashboard recommendation as a prompt for review—not an automatic release decision.
5. Never enter patient/medicine free text or personal contact information into analytics/evidence fields.</x:v>
      </x:c>
      <x:c r="D22" s="48" t="str">
        <x:v>1. Update Test_Cases status, Actual Result, Evidence Link and Tester.
2. Move validated defects from sample Draft status into your real workflow only after execution.
3. Complete release controls with evidence.
4. Use the dashboard recommendation as a prompt for review—not an automatic release decision.
5. Never enter patient/medicine free text or personal contact information into analytics/evidence fields.</x:v>
      </x:c>
      <x:c r="E22" s="48" t="str">
        <x:v>1. Update Test_Cases status, Actual Result, Evidence Link and Tester.
2. Move validated defects from sample Draft status into your real workflow only after execution.
3. Complete release controls with evidence.
4. Use the dashboard recommendation as a prompt for review—not an automatic release decision.
5. Never enter patient/medicine free text or personal contact information into analytics/evidence fields.</x:v>
      </x:c>
      <x:c r="F22" s="48" t="str">
        <x:v>1. Update Test_Cases status, Actual Result, Evidence Link and Tester.
2. Move validated defects from sample Draft status into your real workflow only after execution.
3. Complete release controls with evidence.
4. Use the dashboard recommendation as a prompt for review—not an automatic release decision.
5. Never enter patient/medicine free text or personal contact information into analytics/evidence fields.</x:v>
      </x:c>
      <x:c r="G22" s="48" t="str">
        <x:v>1. Update Test_Cases status, Actual Result, Evidence Link and Tester.
2. Move validated defects from sample Draft status into your real workflow only after execution.
3. Complete release controls with evidence.
4. Use the dashboard recommendation as a prompt for review—not an automatic release decision.
5. Never enter patient/medicine free text or personal contact information into analytics/evidence fields.</x:v>
      </x:c>
      <x:c r="H22" s="48" t="str">
        <x:v>1. Update Test_Cases status, Actual Result, Evidence Link and Tester.
2. Move validated defects from sample Draft status into your real workflow only after execution.
3. Complete release controls with evidence.
4. Use the dashboard recommendation as a prompt for review—not an automatic release decision.
5. Never enter patient/medicine free text or personal contact information into analytics/evidence fields.</x:v>
      </x:c>
      <x:c r="I22" s="42"/>
    </x:row>
    <x:row r="23">
      <x:c r="A23" s="42"/>
      <x:c r="B23" s="48" t="str">
        <x:v>1. Update Test_Cases status, Actual Result, Evidence Link and Tester.
2. Move validated defects from sample Draft status into your real workflow only after execution.
3. Complete release controls with evidence.
4. Use the dashboard recommendation as a prompt for review—not an automatic release decision.
5. Never enter patient/medicine free text or personal contact information into analytics/evidence fields.</x:v>
      </x:c>
      <x:c r="C23" s="48" t="str">
        <x:v>1. Update Test_Cases status, Actual Result, Evidence Link and Tester.
2. Move validated defects from sample Draft status into your real workflow only after execution.
3. Complete release controls with evidence.
4. Use the dashboard recommendation as a prompt for review—not an automatic release decision.
5. Never enter patient/medicine free text or personal contact information into analytics/evidence fields.</x:v>
      </x:c>
      <x:c r="D23" s="48" t="str">
        <x:v>1. Update Test_Cases status, Actual Result, Evidence Link and Tester.
2. Move validated defects from sample Draft status into your real workflow only after execution.
3. Complete release controls with evidence.
4. Use the dashboard recommendation as a prompt for review—not an automatic release decision.
5. Never enter patient/medicine free text or personal contact information into analytics/evidence fields.</x:v>
      </x:c>
      <x:c r="E23" s="48" t="str">
        <x:v>1. Update Test_Cases status, Actual Result, Evidence Link and Tester.
2. Move validated defects from sample Draft status into your real workflow only after execution.
3. Complete release controls with evidence.
4. Use the dashboard recommendation as a prompt for review—not an automatic release decision.
5. Never enter patient/medicine free text or personal contact information into analytics/evidence fields.</x:v>
      </x:c>
      <x:c r="F23" s="48" t="str">
        <x:v>1. Update Test_Cases status, Actual Result, Evidence Link and Tester.
2. Move validated defects from sample Draft status into your real workflow only after execution.
3. Complete release controls with evidence.
4. Use the dashboard recommendation as a prompt for review—not an automatic release decision.
5. Never enter patient/medicine free text or personal contact information into analytics/evidence fields.</x:v>
      </x:c>
      <x:c r="G23" s="48" t="str">
        <x:v>1. Update Test_Cases status, Actual Result, Evidence Link and Tester.
2. Move validated defects from sample Draft status into your real workflow only after execution.
3. Complete release controls with evidence.
4. Use the dashboard recommendation as a prompt for review—not an automatic release decision.
5. Never enter patient/medicine free text or personal contact information into analytics/evidence fields.</x:v>
      </x:c>
      <x:c r="H23" s="48" t="str">
        <x:v>1. Update Test_Cases status, Actual Result, Evidence Link and Tester.
2. Move validated defects from sample Draft status into your real workflow only after execution.
3. Complete release controls with evidence.
4. Use the dashboard recommendation as a prompt for review—not an automatic release decision.
5. Never enter patient/medicine free text or personal contact information into analytics/evidence fields.</x:v>
      </x:c>
      <x:c r="I23" s="42"/>
    </x:row>
    <x:row r="24">
      <x:c r="A24" s="42"/>
      <x:c r="B24" s="48" t="str">
        <x:v>1. Update Test_Cases status, Actual Result, Evidence Link and Tester.
2. Move validated defects from sample Draft status into your real workflow only after execution.
3. Complete release controls with evidence.
4. Use the dashboard recommendation as a prompt for review—not an automatic release decision.
5. Never enter patient/medicine free text or personal contact information into analytics/evidence fields.</x:v>
      </x:c>
      <x:c r="C24" s="48" t="str">
        <x:v>1. Update Test_Cases status, Actual Result, Evidence Link and Tester.
2. Move validated defects from sample Draft status into your real workflow only after execution.
3. Complete release controls with evidence.
4. Use the dashboard recommendation as a prompt for review—not an automatic release decision.
5. Never enter patient/medicine free text or personal contact information into analytics/evidence fields.</x:v>
      </x:c>
      <x:c r="D24" s="48" t="str">
        <x:v>1. Update Test_Cases status, Actual Result, Evidence Link and Tester.
2. Move validated defects from sample Draft status into your real workflow only after execution.
3. Complete release controls with evidence.
4. Use the dashboard recommendation as a prompt for review—not an automatic release decision.
5. Never enter patient/medicine free text or personal contact information into analytics/evidence fields.</x:v>
      </x:c>
      <x:c r="E24" s="48" t="str">
        <x:v>1. Update Test_Cases status, Actual Result, Evidence Link and Tester.
2. Move validated defects from sample Draft status into your real workflow only after execution.
3. Complete release controls with evidence.
4. Use the dashboard recommendation as a prompt for review—not an automatic release decision.
5. Never enter patient/medicine free text or personal contact information into analytics/evidence fields.</x:v>
      </x:c>
      <x:c r="F24" s="48" t="str">
        <x:v>1. Update Test_Cases status, Actual Result, Evidence Link and Tester.
2. Move validated defects from sample Draft status into your real workflow only after execution.
3. Complete release controls with evidence.
4. Use the dashboard recommendation as a prompt for review—not an automatic release decision.
5. Never enter patient/medicine free text or personal contact information into analytics/evidence fields.</x:v>
      </x:c>
      <x:c r="G24" s="48" t="str">
        <x:v>1. Update Test_Cases status, Actual Result, Evidence Link and Tester.
2. Move validated defects from sample Draft status into your real workflow only after execution.
3. Complete release controls with evidence.
4. Use the dashboard recommendation as a prompt for review—not an automatic release decision.
5. Never enter patient/medicine free text or personal contact information into analytics/evidence fields.</x:v>
      </x:c>
      <x:c r="H24" s="48" t="str">
        <x:v>1. Update Test_Cases status, Actual Result, Evidence Link and Tester.
2. Move validated defects from sample Draft status into your real workflow only after execution.
3. Complete release controls with evidence.
4. Use the dashboard recommendation as a prompt for review—not an automatic release decision.
5. Never enter patient/medicine free text or personal contact information into analytics/evidence fields.</x:v>
      </x:c>
      <x:c r="I24" s="42"/>
    </x:row>
    <x:row r="25">
      <x:c r="A25" s="42"/>
      <x:c r="B25" s="48" t="str">
        <x:v>1. Update Test_Cases status, Actual Result, Evidence Link and Tester.
2. Move validated defects from sample Draft status into your real workflow only after execution.
3. Complete release controls with evidence.
4. Use the dashboard recommendation as a prompt for review—not an automatic release decision.
5. Never enter patient/medicine free text or personal contact information into analytics/evidence fields.</x:v>
      </x:c>
      <x:c r="C25" s="48" t="str">
        <x:v>1. Update Test_Cases status, Actual Result, Evidence Link and Tester.
2. Move validated defects from sample Draft status into your real workflow only after execution.
3. Complete release controls with evidence.
4. Use the dashboard recommendation as a prompt for review—not an automatic release decision.
5. Never enter patient/medicine free text or personal contact information into analytics/evidence fields.</x:v>
      </x:c>
      <x:c r="D25" s="48" t="str">
        <x:v>1. Update Test_Cases status, Actual Result, Evidence Link and Tester.
2. Move validated defects from sample Draft status into your real workflow only after execution.
3. Complete release controls with evidence.
4. Use the dashboard recommendation as a prompt for review—not an automatic release decision.
5. Never enter patient/medicine free text or personal contact information into analytics/evidence fields.</x:v>
      </x:c>
      <x:c r="E25" s="48" t="str">
        <x:v>1. Update Test_Cases status, Actual Result, Evidence Link and Tester.
2. Move validated defects from sample Draft status into your real workflow only after execution.
3. Complete release controls with evidence.
4. Use the dashboard recommendation as a prompt for review—not an automatic release decision.
5. Never enter patient/medicine free text or personal contact information into analytics/evidence fields.</x:v>
      </x:c>
      <x:c r="F25" s="48" t="str">
        <x:v>1. Update Test_Cases status, Actual Result, Evidence Link and Tester.
2. Move validated defects from sample Draft status into your real workflow only after execution.
3. Complete release controls with evidence.
4. Use the dashboard recommendation as a prompt for review—not an automatic release decision.
5. Never enter patient/medicine free text or personal contact information into analytics/evidence fields.</x:v>
      </x:c>
      <x:c r="G25" s="48" t="str">
        <x:v>1. Update Test_Cases status, Actual Result, Evidence Link and Tester.
2. Move validated defects from sample Draft status into your real workflow only after execution.
3. Complete release controls with evidence.
4. Use the dashboard recommendation as a prompt for review—not an automatic release decision.
5. Never enter patient/medicine free text or personal contact information into analytics/evidence fields.</x:v>
      </x:c>
      <x:c r="H25" s="48" t="str">
        <x:v>1. Update Test_Cases status, Actual Result, Evidence Link and Tester.
2. Move validated defects from sample Draft status into your real workflow only after execution.
3. Complete release controls with evidence.
4. Use the dashboard recommendation as a prompt for review—not an automatic release decision.
5. Never enter patient/medicine free text or personal contact information into analytics/evidence fields.</x:v>
      </x:c>
      <x:c r="I25" s="42"/>
    </x:row>
    <x:row r="26">
      <x:c r="A26" s="42"/>
      <x:c r="B26" s="48" t="str">
        <x:v>1. Update Test_Cases status, Actual Result, Evidence Link and Tester.
2. Move validated defects from sample Draft status into your real workflow only after execution.
3. Complete release controls with evidence.
4. Use the dashboard recommendation as a prompt for review—not an automatic release decision.
5. Never enter patient/medicine free text or personal contact information into analytics/evidence fields.</x:v>
      </x:c>
      <x:c r="C26" s="48" t="str">
        <x:v>1. Update Test_Cases status, Actual Result, Evidence Link and Tester.
2. Move validated defects from sample Draft status into your real workflow only after execution.
3. Complete release controls with evidence.
4. Use the dashboard recommendation as a prompt for review—not an automatic release decision.
5. Never enter patient/medicine free text or personal contact information into analytics/evidence fields.</x:v>
      </x:c>
      <x:c r="D26" s="48" t="str">
        <x:v>1. Update Test_Cases status, Actual Result, Evidence Link and Tester.
2. Move validated defects from sample Draft status into your real workflow only after execution.
3. Complete release controls with evidence.
4. Use the dashboard recommendation as a prompt for review—not an automatic release decision.
5. Never enter patient/medicine free text or personal contact information into analytics/evidence fields.</x:v>
      </x:c>
      <x:c r="E26" s="48" t="str">
        <x:v>1. Update Test_Cases status, Actual Result, Evidence Link and Tester.
2. Move validated defects from sample Draft status into your real workflow only after execution.
3. Complete release controls with evidence.
4. Use the dashboard recommendation as a prompt for review—not an automatic release decision.
5. Never enter patient/medicine free text or personal contact information into analytics/evidence fields.</x:v>
      </x:c>
      <x:c r="F26" s="48" t="str">
        <x:v>1. Update Test_Cases status, Actual Result, Evidence Link and Tester.
2. Move validated defects from sample Draft status into your real workflow only after execution.
3. Complete release controls with evidence.
4. Use the dashboard recommendation as a prompt for review—not an automatic release decision.
5. Never enter patient/medicine free text or personal contact information into analytics/evidence fields.</x:v>
      </x:c>
      <x:c r="G26" s="48" t="str">
        <x:v>1. Update Test_Cases status, Actual Result, Evidence Link and Tester.
2. Move validated defects from sample Draft status into your real workflow only after execution.
3. Complete release controls with evidence.
4. Use the dashboard recommendation as a prompt for review—not an automatic release decision.
5. Never enter patient/medicine free text or personal contact information into analytics/evidence fields.</x:v>
      </x:c>
      <x:c r="H26" s="48" t="str">
        <x:v>1. Update Test_Cases status, Actual Result, Evidence Link and Tester.
2. Move validated defects from sample Draft status into your real workflow only after execution.
3. Complete release controls with evidence.
4. Use the dashboard recommendation as a prompt for review—not an automatic release decision.
5. Never enter patient/medicine free text or personal contact information into analytics/evidence fields.</x:v>
      </x:c>
      <x:c r="I26" s="42"/>
    </x:row>
  </x:sheetData>
  <x:mergeCells>
    <x:mergeCell ref="A1:I1"/>
    <x:mergeCell ref="A2:I2"/>
    <x:mergeCell ref="B4:H4"/>
    <x:mergeCell ref="B6:C6"/>
    <x:mergeCell ref="B7:C7"/>
    <x:mergeCell ref="D6:E6"/>
    <x:mergeCell ref="D7:E7"/>
    <x:mergeCell ref="F6:G6"/>
    <x:mergeCell ref="F7:G7"/>
    <x:mergeCell ref="B9:C9"/>
    <x:mergeCell ref="B10:C10"/>
    <x:mergeCell ref="D9:E9"/>
    <x:mergeCell ref="D10:E10"/>
    <x:mergeCell ref="F9:G9"/>
    <x:mergeCell ref="F10:G10"/>
    <x:mergeCell ref="B12:C12"/>
    <x:mergeCell ref="B13:C13"/>
    <x:mergeCell ref="D12:E12"/>
    <x:mergeCell ref="D13:E13"/>
    <x:mergeCell ref="F12:G12"/>
    <x:mergeCell ref="F13:G13"/>
    <x:mergeCell ref="B16:H16"/>
    <x:mergeCell ref="B17:H18"/>
    <x:mergeCell ref="B21:H21"/>
    <x:mergeCell ref="B22:H26"/>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10" hidden="0" customWidth="1"/>
    <x:col min="3" max="3" width="14" hidden="0" customWidth="1"/>
    <x:col min="4" max="4" width="8" hidden="0" customWidth="1"/>
    <x:col min="5" max="5" width="30" hidden="0" customWidth="1"/>
    <x:col min="6" max="6" width="36" hidden="0" customWidth="1"/>
    <x:col min="7" max="7" width="46" hidden="0" customWidth="1"/>
    <x:col min="8" max="8" width="46" hidden="0" customWidth="1"/>
    <x:col min="9" max="9" width="15" hidden="0" customWidth="1"/>
    <x:col min="10" max="10" width="38" hidden="0" customWidth="1"/>
    <x:col min="11" max="11" width="25" hidden="0" customWidth="1"/>
    <x:col min="12" max="12" width="20" hidden="0" customWidth="1"/>
    <x:col min="13" max="13" width="18" hidden="0" customWidth="1"/>
  </x:cols>
  <x:sheetData>
    <x:row r="1" ht="34" customHeight="1">
      <x:c r="A1" s="40" t="str">
        <x:v>MVP Test Cases</x:v>
      </x:c>
      <x:c r="B1" s="40" t="str">
        <x:v>MVP Test Cases</x:v>
      </x:c>
      <x:c r="C1" s="40" t="str">
        <x:v>MVP Test Cases</x:v>
      </x:c>
      <x:c r="D1" s="40" t="str">
        <x:v>MVP Test Cases</x:v>
      </x:c>
      <x:c r="E1" s="40" t="str">
        <x:v>MVP Test Cases</x:v>
      </x:c>
      <x:c r="F1" s="40" t="str">
        <x:v>MVP Test Cases</x:v>
      </x:c>
      <x:c r="G1" s="40" t="str">
        <x:v>MVP Test Cases</x:v>
      </x:c>
      <x:c r="H1" s="40" t="str">
        <x:v>MVP Test Cases</x:v>
      </x:c>
      <x:c r="I1" s="40" t="str">
        <x:v>MVP Test Cases</x:v>
      </x:c>
      <x:c r="J1" s="40" t="str">
        <x:v>MVP Test Cases</x:v>
      </x:c>
      <x:c r="K1" s="40" t="str">
        <x:v>MVP Test Cases</x:v>
      </x:c>
      <x:c r="L1" s="40" t="str">
        <x:v>MVP Test Cases</x:v>
      </x:c>
      <x:c r="M1" s="40" t="str">
        <x:v>MVP Test Cases</x:v>
      </x:c>
    </x:row>
    <x:row r="2" ht="28" customHeight="1">
      <x:c r="A2" s="41" t="str">
        <x:v>Execution sheet • yellow cells are user inputs • statuses default to Not Run</x:v>
      </x:c>
      <x:c r="B2" s="41" t="str">
        <x:v>Execution sheet • yellow cells are user inputs • statuses default to Not Run</x:v>
      </x:c>
      <x:c r="C2" s="41" t="str">
        <x:v>Execution sheet • yellow cells are user inputs • statuses default to Not Run</x:v>
      </x:c>
      <x:c r="D2" s="41" t="str">
        <x:v>Execution sheet • yellow cells are user inputs • statuses default to Not Run</x:v>
      </x:c>
      <x:c r="E2" s="41" t="str">
        <x:v>Execution sheet • yellow cells are user inputs • statuses default to Not Run</x:v>
      </x:c>
      <x:c r="F2" s="41" t="str">
        <x:v>Execution sheet • yellow cells are user inputs • statuses default to Not Run</x:v>
      </x:c>
      <x:c r="G2" s="41" t="str">
        <x:v>Execution sheet • yellow cells are user inputs • statuses default to Not Run</x:v>
      </x:c>
      <x:c r="H2" s="41" t="str">
        <x:v>Execution sheet • yellow cells are user inputs • statuses default to Not Run</x:v>
      </x:c>
      <x:c r="I2" s="41" t="str">
        <x:v>Execution sheet • yellow cells are user inputs • statuses default to Not Run</x:v>
      </x:c>
      <x:c r="J2" s="41" t="str">
        <x:v>Execution sheet • yellow cells are user inputs • statuses default to Not Run</x:v>
      </x:c>
      <x:c r="K2" s="41" t="str">
        <x:v>Execution sheet • yellow cells are user inputs • statuses default to Not Run</x:v>
      </x:c>
      <x:c r="L2" s="41" t="str">
        <x:v>Execution sheet • yellow cells are user inputs • statuses default to Not Run</x:v>
      </x:c>
      <x:c r="M2" s="41" t="str">
        <x:v>Execution sheet • yellow cells are user inputs • statuses default to Not Run</x:v>
      </x:c>
    </x:row>
    <x:row r="3">
      <x:c r="A3" s="42"/>
      <x:c r="B3" s="42"/>
      <x:c r="C3" s="42"/>
      <x:c r="D3" s="42"/>
      <x:c r="E3" s="42"/>
      <x:c r="F3" s="42"/>
      <x:c r="G3" s="42"/>
      <x:c r="H3" s="42"/>
      <x:c r="I3" s="42"/>
      <x:c r="J3" s="42"/>
      <x:c r="K3" s="42"/>
      <x:c r="L3" s="42"/>
      <x:c r="M3" s="42"/>
    </x:row>
    <x:row r="4">
      <x:c r="A4" s="49" t="str">
        <x:v>Scope: linked history, digital invoice, explainable savings, correction handling, privacy/security, operations and accessibility.</x:v>
      </x:c>
      <x:c r="B4" s="49" t="str">
        <x:v>Scope: linked history, digital invoice, explainable savings, correction handling, privacy/security, operations and accessibility.</x:v>
      </x:c>
      <x:c r="C4" s="49" t="str">
        <x:v>Scope: linked history, digital invoice, explainable savings, correction handling, privacy/security, operations and accessibility.</x:v>
      </x:c>
      <x:c r="D4" s="49" t="str">
        <x:v>Scope: linked history, digital invoice, explainable savings, correction handling, privacy/security, operations and accessibility.</x:v>
      </x:c>
      <x:c r="E4" s="49" t="str">
        <x:v>Scope: linked history, digital invoice, explainable savings, correction handling, privacy/security, operations and accessibility.</x:v>
      </x:c>
      <x:c r="F4" s="49" t="str">
        <x:v>Scope: linked history, digital invoice, explainable savings, correction handling, privacy/security, operations and accessibility.</x:v>
      </x:c>
      <x:c r="G4" s="49" t="str">
        <x:v>Scope: linked history, digital invoice, explainable savings, correction handling, privacy/security, operations and accessibility.</x:v>
      </x:c>
      <x:c r="H4" s="49" t="str">
        <x:v>Scope: linked history, digital invoice, explainable savings, correction handling, privacy/security, operations and accessibility.</x:v>
      </x:c>
      <x:c r="I4" s="49" t="str">
        <x:v>Scope: linked history, digital invoice, explainable savings, correction handling, privacy/security, operations and accessibility.</x:v>
      </x:c>
      <x:c r="J4" s="49" t="str">
        <x:v>Scope: linked history, digital invoice, explainable savings, correction handling, privacy/security, operations and accessibility.</x:v>
      </x:c>
      <x:c r="K4" s="49" t="str">
        <x:v>Scope: linked history, digital invoice, explainable savings, correction handling, privacy/security, operations and accessibility.</x:v>
      </x:c>
      <x:c r="L4" s="49" t="str">
        <x:v>Scope: linked history, digital invoice, explainable savings, correction handling, privacy/security, operations and accessibility.</x:v>
      </x:c>
      <x:c r="M4" s="49" t="str">
        <x:v>Scope: linked history, digital invoice, explainable savings, correction handling, privacy/security, operations and accessibility.</x:v>
      </x:c>
    </x:row>
    <x:row r="5" ht="26.399999618530273" hidden="0" customHeight="1">
      <x:c r="A5" s="43" t="str">
        <x:v>Test ID</x:v>
      </x:c>
      <x:c r="B5" s="43" t="str">
        <x:v>Requirement</x:v>
      </x:c>
      <x:c r="C5" s="43" t="str">
        <x:v>Type</x:v>
      </x:c>
      <x:c r="D5" s="43" t="str">
        <x:v>Priority</x:v>
      </x:c>
      <x:c r="E5" s="43" t="str">
        <x:v>Scenario</x:v>
      </x:c>
      <x:c r="F5" s="43" t="str">
        <x:v>Preconditions</x:v>
      </x:c>
      <x:c r="G5" s="43" t="str">
        <x:v>Steps</x:v>
      </x:c>
      <x:c r="H5" s="43" t="str">
        <x:v>Expected Result</x:v>
      </x:c>
      <x:c r="I5" s="43" t="str">
        <x:v>Status</x:v>
      </x:c>
      <x:c r="J5" s="43" t="str">
        <x:v>Actual Result</x:v>
      </x:c>
      <x:c r="K5" s="43" t="str">
        <x:v>Evidence Link</x:v>
      </x:c>
      <x:c r="L5" s="43" t="str">
        <x:v>Tester</x:v>
      </x:c>
      <x:c r="M5" s="43" t="str">
        <x:v>Notes</x:v>
      </x:c>
    </x:row>
    <x:row r="6" ht="36" hidden="0" customHeight="1">
      <x:c r="A6" s="50" t="str">
        <x:v>TC-001</x:v>
      </x:c>
      <x:c r="B6" s="50" t="str">
        <x:v>FR-01</x:v>
      </x:c>
      <x:c r="C6" s="50" t="str">
        <x:v>Functional</x:v>
      </x:c>
      <x:c r="D6" s="50" t="str">
        <x:v>P0</x:v>
      </x:c>
      <x:c r="E6" s="50" t="str">
        <x:v>Eligible matched purchase ingestion</x:v>
      </x:c>
      <x:c r="F6" s="50" t="str">
        <x:v>A completed, eligible store bill and a uniquely matched app account exist.</x:v>
      </x:c>
      <x:c r="G6" s="50" t="str">
        <x:v>1. Complete the store transaction.
2. Publish the transaction event.
3. Open Purchase History.</x:v>
      </x:c>
      <x:c r="H6" s="50" t="str">
        <x:v>Exactly one linked purchase appears with store, date, amount and status.</x:v>
      </x:c>
      <x:c r="I6" s="51" t="str">
        <x:v>Not Run</x:v>
      </x:c>
      <x:c r="J6" s="51" t="str"/>
      <x:c r="K6" s="51" t="str"/>
      <x:c r="L6" s="51" t="str">
        <x:v>Happy path</x:v>
      </x:c>
      <x:c r="M6" s="51"/>
    </x:row>
    <x:row r="7" ht="15" hidden="0" customHeight="1">
      <x:c r="A7" s="50" t="str">
        <x:v>TC-002</x:v>
      </x:c>
      <x:c r="B7" s="50" t="str">
        <x:v>FR-02</x:v>
      </x:c>
      <x:c r="C7" s="50" t="str">
        <x:v>Integration</x:v>
      </x:c>
      <x:c r="D7" s="50" t="str">
        <x:v>P0</x:v>
      </x:c>
      <x:c r="E7" s="50" t="str">
        <x:v>Duplicate event is idempotent</x:v>
      </x:c>
      <x:c r="F7" s="50" t="str">
        <x:v>TC-001 event has already been processed.</x:v>
      </x:c>
      <x:c r="G7" s="50" t="str">
        <x:v>Replay the same event ID twice.</x:v>
      </x:c>
      <x:c r="H7" s="50" t="str">
        <x:v>No duplicate record; totals and savings are counted once.</x:v>
      </x:c>
      <x:c r="I7" s="51" t="str">
        <x:v>Not Run</x:v>
      </x:c>
      <x:c r="J7" s="51" t="str"/>
      <x:c r="K7" s="51" t="str"/>
      <x:c r="L7" s="51" t="str">
        <x:v>Data integrity</x:v>
      </x:c>
      <x:c r="M7" s="51"/>
    </x:row>
    <x:row r="8" ht="24" hidden="0" customHeight="1">
      <x:c r="A8" s="50" t="str">
        <x:v>TC-003</x:v>
      </x:c>
      <x:c r="B8" s="50" t="str">
        <x:v>FR-03</x:v>
      </x:c>
      <x:c r="C8" s="50" t="str">
        <x:v>Functional</x:v>
      </x:c>
      <x:c r="D8" s="50" t="str">
        <x:v>P1</x:v>
      </x:c>
      <x:c r="E8" s="50" t="str">
        <x:v>Ineligible transaction excluded</x:v>
      </x:c>
      <x:c r="F8" s="50" t="str">
        <x:v>Transaction is marked ineligible by approved business rule.</x:v>
      </x:c>
      <x:c r="G8" s="50" t="str">
        <x:v>Publish event and refresh history.</x:v>
      </x:c>
      <x:c r="H8" s="50" t="str">
        <x:v>Transaction is not linked; exclusion reason is logged for support.</x:v>
      </x:c>
      <x:c r="I8" s="51" t="str">
        <x:v>Not Run</x:v>
      </x:c>
      <x:c r="J8" s="51" t="str"/>
      <x:c r="K8" s="51" t="str"/>
      <x:c r="L8" s="51" t="str">
        <x:v>Eligibility</x:v>
      </x:c>
      <x:c r="M8" s="51"/>
    </x:row>
    <x:row r="9" ht="24" hidden="0" customHeight="1">
      <x:c r="A9" s="50" t="str">
        <x:v>TC-004</x:v>
      </x:c>
      <x:c r="B9" s="50" t="str">
        <x:v>FR-04</x:v>
      </x:c>
      <x:c r="C9" s="50" t="str">
        <x:v>Security</x:v>
      </x:c>
      <x:c r="D9" s="50" t="str">
        <x:v>P0</x:v>
      </x:c>
      <x:c r="E9" s="50" t="str">
        <x:v>Unique phone match links correct account</x:v>
      </x:c>
      <x:c r="F9" s="50" t="str">
        <x:v>One verified account matches the normalized phone number.</x:v>
      </x:c>
      <x:c r="G9" s="50" t="str">
        <x:v>Process transaction with matching contact number.</x:v>
      </x:c>
      <x:c r="H9" s="50" t="str">
        <x:v>Record is visible only to that verified account.</x:v>
      </x:c>
      <x:c r="I9" s="51" t="str">
        <x:v>Not Run</x:v>
      </x:c>
      <x:c r="J9" s="51" t="str"/>
      <x:c r="K9" s="51" t="str"/>
      <x:c r="L9" s="51" t="str">
        <x:v>Identity</x:v>
      </x:c>
      <x:c r="M9" s="51"/>
    </x:row>
    <x:row r="10" ht="24" hidden="0" customHeight="1">
      <x:c r="A10" s="50" t="str">
        <x:v>TC-005</x:v>
      </x:c>
      <x:c r="B10" s="50" t="str">
        <x:v>FR-05</x:v>
      </x:c>
      <x:c r="C10" s="50" t="str">
        <x:v>Privacy</x:v>
      </x:c>
      <x:c r="D10" s="50" t="str">
        <x:v>P0</x:v>
      </x:c>
      <x:c r="E10" s="50" t="str">
        <x:v>Ambiguous match fails closed</x:v>
      </x:c>
      <x:c r="F10" s="50" t="str">
        <x:v>Two accounts or profiles could match the supplied identifier.</x:v>
      </x:c>
      <x:c r="G10" s="50" t="str">
        <x:v>Process event and sign in to each candidate account.</x:v>
      </x:c>
      <x:c r="H10" s="50" t="str">
        <x:v>No purchase detail is exposed; case enters protected/unmatched state.</x:v>
      </x:c>
      <x:c r="I10" s="51" t="str">
        <x:v>Not Run</x:v>
      </x:c>
      <x:c r="J10" s="51" t="str"/>
      <x:c r="K10" s="51" t="str"/>
      <x:c r="L10" s="51" t="str">
        <x:v>Zero-tolerance privacy</x:v>
      </x:c>
      <x:c r="M10" s="51"/>
    </x:row>
    <x:row r="11" ht="24" hidden="0" customHeight="1">
      <x:c r="A11" s="50" t="str">
        <x:v>TC-006</x:v>
      </x:c>
      <x:c r="B11" s="50" t="str">
        <x:v>FR-05</x:v>
      </x:c>
      <x:c r="C11" s="50" t="str">
        <x:v>Privacy</x:v>
      </x:c>
      <x:c r="D11" s="50" t="str">
        <x:v>P0</x:v>
      </x:c>
      <x:c r="E11" s="50" t="str">
        <x:v>Missing identifier fails closed</x:v>
      </x:c>
      <x:c r="F11" s="50" t="str">
        <x:v>Transaction has no usable customer identifier.</x:v>
      </x:c>
      <x:c r="G11" s="50" t="str">
        <x:v>Process event and inspect user histories.</x:v>
      </x:c>
      <x:c r="H11" s="50" t="str">
        <x:v>No account receives the transaction; unmatched workflow is available.</x:v>
      </x:c>
      <x:c r="I11" s="51" t="str">
        <x:v>Not Run</x:v>
      </x:c>
      <x:c r="J11" s="51" t="str"/>
      <x:c r="K11" s="51" t="str"/>
      <x:c r="L11" s="51" t="str">
        <x:v>Privacy</x:v>
      </x:c>
      <x:c r="M11" s="51"/>
    </x:row>
    <x:row r="12" ht="15" hidden="0" customHeight="1">
      <x:c r="A12" s="50" t="str">
        <x:v>TC-007</x:v>
      </x:c>
      <x:c r="B12" s="50" t="str">
        <x:v>FR-06</x:v>
      </x:c>
      <x:c r="C12" s="50" t="str">
        <x:v>Functional</x:v>
      </x:c>
      <x:c r="D12" s="50" t="str">
        <x:v>P1</x:v>
      </x:c>
      <x:c r="E12" s="50" t="str">
        <x:v>History ordering</x:v>
      </x:c>
      <x:c r="F12" s="50" t="str">
        <x:v>Account has purchases on different dates.</x:v>
      </x:c>
      <x:c r="G12" s="50" t="str">
        <x:v>Open Purchase History.</x:v>
      </x:c>
      <x:c r="H12" s="50" t="str">
        <x:v>Newest purchase is first and record states are clear.</x:v>
      </x:c>
      <x:c r="I12" s="51" t="str">
        <x:v>Not Run</x:v>
      </x:c>
      <x:c r="J12" s="51" t="str"/>
      <x:c r="K12" s="51" t="str"/>
      <x:c r="L12" s="51" t="str">
        <x:v>UI</x:v>
      </x:c>
      <x:c r="M12" s="51"/>
    </x:row>
    <x:row r="13" ht="15" hidden="0" customHeight="1">
      <x:c r="A13" s="50" t="str">
        <x:v>TC-008</x:v>
      </x:c>
      <x:c r="B13" s="50" t="str">
        <x:v>FR-06</x:v>
      </x:c>
      <x:c r="C13" s="50" t="str">
        <x:v>Functional</x:v>
      </x:c>
      <x:c r="D13" s="50" t="str">
        <x:v>P2</x:v>
      </x:c>
      <x:c r="E13" s="50" t="str">
        <x:v>Empty history state</x:v>
      </x:c>
      <x:c r="F13" s="50" t="str">
        <x:v>Verified account has no linked purchases.</x:v>
      </x:c>
      <x:c r="G13" s="50" t="str">
        <x:v>Open Purchase History.</x:v>
      </x:c>
      <x:c r="H13" s="50" t="str">
        <x:v>Helpful empty state explains linking and offers claim/support route.</x:v>
      </x:c>
      <x:c r="I13" s="51" t="str">
        <x:v>Not Run</x:v>
      </x:c>
      <x:c r="J13" s="51" t="str"/>
      <x:c r="K13" s="51" t="str"/>
      <x:c r="L13" s="51" t="str">
        <x:v>UX</x:v>
      </x:c>
      <x:c r="M13" s="51"/>
    </x:row>
    <x:row r="14" ht="24" hidden="0" customHeight="1">
      <x:c r="A14" s="50" t="str">
        <x:v>TC-009</x:v>
      </x:c>
      <x:c r="B14" s="50" t="str">
        <x:v>FR-07</x:v>
      </x:c>
      <x:c r="C14" s="50" t="str">
        <x:v>Functional</x:v>
      </x:c>
      <x:c r="D14" s="50" t="str">
        <x:v>P0</x:v>
      </x:c>
      <x:c r="E14" s="50" t="str">
        <x:v>Purchase detail completeness</x:v>
      </x:c>
      <x:c r="F14" s="50" t="str">
        <x:v>A linked purchase exists.</x:v>
      </x:c>
      <x:c r="G14" s="50" t="str">
        <x:v>Open the purchase detail.</x:v>
      </x:c>
      <x:c r="H14" s="50" t="str">
        <x:v>Store, timestamp, line items, quantity, amount, discount, invoice and state are present when available.</x:v>
      </x:c>
      <x:c r="I14" s="51" t="str">
        <x:v>Not Run</x:v>
      </x:c>
      <x:c r="J14" s="51" t="str"/>
      <x:c r="K14" s="51" t="str"/>
      <x:c r="L14" s="51" t="str">
        <x:v>Detail</x:v>
      </x:c>
      <x:c r="M14" s="51"/>
    </x:row>
    <x:row r="15" ht="24" hidden="0" customHeight="1">
      <x:c r="A15" s="50" t="str">
        <x:v>TC-010</x:v>
      </x:c>
      <x:c r="B15" s="50" t="str">
        <x:v>FR-08</x:v>
      </x:c>
      <x:c r="C15" s="50" t="str">
        <x:v>Functional</x:v>
      </x:c>
      <x:c r="D15" s="50" t="str">
        <x:v>P1</x:v>
      </x:c>
      <x:c r="E15" s="50" t="str">
        <x:v>Digital invoice opens</x:v>
      </x:c>
      <x:c r="F15" s="50" t="str">
        <x:v>Invoice artifact is available.</x:v>
      </x:c>
      <x:c r="G15" s="50" t="str">
        <x:v>Select View invoice.</x:v>
      </x:c>
      <x:c r="H15" s="50" t="str">
        <x:v>Correct invoice opens/downloads and is tied to the selected purchase.</x:v>
      </x:c>
      <x:c r="I15" s="51" t="str">
        <x:v>Not Run</x:v>
      </x:c>
      <x:c r="J15" s="51" t="str"/>
      <x:c r="K15" s="51" t="str"/>
      <x:c r="L15" s="51" t="str">
        <x:v>Invoice</x:v>
      </x:c>
      <x:c r="M15" s="51"/>
    </x:row>
    <x:row r="16" ht="24" hidden="0" customHeight="1">
      <x:c r="A16" s="50" t="str">
        <x:v>TC-011</x:v>
      </x:c>
      <x:c r="B16" s="50" t="str">
        <x:v>FR-08</x:v>
      </x:c>
      <x:c r="C16" s="50" t="str">
        <x:v>Negative</x:v>
      </x:c>
      <x:c r="D16" s="50" t="str">
        <x:v>P1</x:v>
      </x:c>
      <x:c r="E16" s="50" t="str">
        <x:v>Invoice temporarily unavailable</x:v>
      </x:c>
      <x:c r="F16" s="50" t="str">
        <x:v>Invoice service returns an error.</x:v>
      </x:c>
      <x:c r="G16" s="50" t="str">
        <x:v>Select View invoice.</x:v>
      </x:c>
      <x:c r="H16" s="50" t="str">
        <x:v>No blank page; user sees retry and support options without losing context.</x:v>
      </x:c>
      <x:c r="I16" s="51" t="str">
        <x:v>Not Run</x:v>
      </x:c>
      <x:c r="J16" s="51" t="str"/>
      <x:c r="K16" s="51" t="str"/>
      <x:c r="L16" s="51" t="str">
        <x:v>Resilience</x:v>
      </x:c>
      <x:c r="M16" s="51"/>
    </x:row>
    <x:row r="17" ht="24" hidden="0" customHeight="1">
      <x:c r="A17" s="50" t="str">
        <x:v>TC-012</x:v>
      </x:c>
      <x:c r="B17" s="50" t="str">
        <x:v>FR-09</x:v>
      </x:c>
      <x:c r="C17" s="50" t="str">
        <x:v>Functional</x:v>
      </x:c>
      <x:c r="D17" s="50" t="str">
        <x:v>P0</x:v>
      </x:c>
      <x:c r="E17" s="50" t="str">
        <x:v>Savings displayed with approved comparator</x:v>
      </x:c>
      <x:c r="F17" s="50" t="str">
        <x:v>Approved comparator and computation are available.</x:v>
      </x:c>
      <x:c r="G17" s="50" t="str">
        <x:v>Open Savings Explanation.</x:v>
      </x:c>
      <x:c r="H17" s="50" t="str">
        <x:v>Savings amount and method are shown in plain language with basis and caveat.</x:v>
      </x:c>
      <x:c r="I17" s="51" t="str">
        <x:v>Not Run</x:v>
      </x:c>
      <x:c r="J17" s="51" t="str"/>
      <x:c r="K17" s="51" t="str"/>
      <x:c r="L17" s="51" t="str">
        <x:v>Trust</x:v>
      </x:c>
      <x:c r="M17" s="51"/>
    </x:row>
    <x:row r="18" ht="15" hidden="0" customHeight="1">
      <x:c r="A18" s="50" t="str">
        <x:v>TC-013</x:v>
      </x:c>
      <x:c r="B18" s="50" t="str">
        <x:v>FR-09</x:v>
      </x:c>
      <x:c r="C18" s="50" t="str">
        <x:v>Negative</x:v>
      </x:c>
      <x:c r="D18" s="50" t="str">
        <x:v>P0</x:v>
      </x:c>
      <x:c r="E18" s="50" t="str">
        <x:v>Savings suppressed without comparator</x:v>
      </x:c>
      <x:c r="F18" s="50" t="str">
        <x:v>Comparator is missing or not approved.</x:v>
      </x:c>
      <x:c r="G18" s="50" t="str">
        <x:v>Open purchase detail.</x:v>
      </x:c>
      <x:c r="H18" s="50" t="str">
        <x:v>No fabricated savings amount; UI says savings unavailable.</x:v>
      </x:c>
      <x:c r="I18" s="51" t="str">
        <x:v>Not Run</x:v>
      </x:c>
      <x:c r="J18" s="51" t="str"/>
      <x:c r="K18" s="51" t="str"/>
      <x:c r="L18" s="51" t="str">
        <x:v>Truthfulness</x:v>
      </x:c>
      <x:c r="M18" s="51"/>
    </x:row>
    <x:row r="19" ht="15" hidden="0" customHeight="1">
      <x:c r="A19" s="50" t="str">
        <x:v>TC-014</x:v>
      </x:c>
      <x:c r="B19" s="50" t="str">
        <x:v>FR-09</x:v>
      </x:c>
      <x:c r="C19" s="50" t="str">
        <x:v>Functional</x:v>
      </x:c>
      <x:c r="D19" s="50" t="str">
        <x:v>P1</x:v>
      </x:c>
      <x:c r="E19" s="50" t="str">
        <x:v>Zero savings handled</x:v>
      </x:c>
      <x:c r="F19" s="50" t="str">
        <x:v>Approved calculation returns zero.</x:v>
      </x:c>
      <x:c r="G19" s="50" t="str">
        <x:v>Open purchase detail and explanation.</x:v>
      </x:c>
      <x:c r="H19" s="50" t="str">
        <x:v>Zero is displayed neutrally; no misleading positive claim.</x:v>
      </x:c>
      <x:c r="I19" s="51" t="str">
        <x:v>Not Run</x:v>
      </x:c>
      <x:c r="J19" s="51" t="str"/>
      <x:c r="K19" s="51" t="str"/>
      <x:c r="L19" s="51" t="str">
        <x:v>Edge case</x:v>
      </x:c>
      <x:c r="M19" s="51"/>
    </x:row>
    <x:row r="20" ht="15" hidden="0" customHeight="1">
      <x:c r="A20" s="50" t="str">
        <x:v>TC-015</x:v>
      </x:c>
      <x:c r="B20" s="50" t="str">
        <x:v>FR-10</x:v>
      </x:c>
      <x:c r="C20" s="50" t="str">
        <x:v>Integration</x:v>
      </x:c>
      <x:c r="D20" s="50" t="str">
        <x:v>P0</x:v>
      </x:c>
      <x:c r="E20" s="50" t="str">
        <x:v>Return updates record</x:v>
      </x:c>
      <x:c r="F20" s="50" t="str">
        <x:v>A linked purchase is fully returned.</x:v>
      </x:c>
      <x:c r="G20" s="50" t="str">
        <x:v>Publish return event and refresh history/detail.</x:v>
      </x:c>
      <x:c r="H20" s="50" t="str">
        <x:v>Status changes to Returned; totals and savings reconcile.</x:v>
      </x:c>
      <x:c r="I20" s="51" t="str">
        <x:v>Not Run</x:v>
      </x:c>
      <x:c r="J20" s="51" t="str"/>
      <x:c r="K20" s="51" t="str"/>
      <x:c r="L20" s="51" t="str">
        <x:v>Lifecycle</x:v>
      </x:c>
      <x:c r="M20" s="51"/>
    </x:row>
    <x:row r="21" ht="15" hidden="0" customHeight="1">
      <x:c r="A21" s="50" t="str">
        <x:v>TC-016</x:v>
      </x:c>
      <x:c r="B21" s="50" t="str">
        <x:v>FR-10</x:v>
      </x:c>
      <x:c r="C21" s="50" t="str">
        <x:v>Integration</x:v>
      </x:c>
      <x:c r="D21" s="50" t="str">
        <x:v>P0</x:v>
      </x:c>
      <x:c r="E21" s="50" t="str">
        <x:v>Partial refund updates line items</x:v>
      </x:c>
      <x:c r="F21" s="50" t="str">
        <x:v>One line item is refunded.</x:v>
      </x:c>
      <x:c r="G21" s="50" t="str">
        <x:v>Publish partial refund event.</x:v>
      </x:c>
      <x:c r="H21" s="50" t="str">
        <x:v>Affected item, net amount and savings update; audit trail remains.</x:v>
      </x:c>
      <x:c r="I21" s="51" t="str">
        <x:v>Not Run</x:v>
      </x:c>
      <x:c r="J21" s="51" t="str"/>
      <x:c r="K21" s="51" t="str"/>
      <x:c r="L21" s="51" t="str">
        <x:v>Lifecycle</x:v>
      </x:c>
      <x:c r="M21" s="51"/>
    </x:row>
    <x:row r="22" ht="15" hidden="0" customHeight="1">
      <x:c r="A22" s="50" t="str">
        <x:v>TC-017</x:v>
      </x:c>
      <x:c r="B22" s="50" t="str">
        <x:v>FR-10</x:v>
      </x:c>
      <x:c r="C22" s="50" t="str">
        <x:v>Integration</x:v>
      </x:c>
      <x:c r="D22" s="50" t="str">
        <x:v>P1</x:v>
      </x:c>
      <x:c r="E22" s="50" t="str">
        <x:v>Out-of-order lifecycle events</x:v>
      </x:c>
      <x:c r="F22" s="50" t="str">
        <x:v>Refund event arrives before original event.</x:v>
      </x:c>
      <x:c r="G22" s="50" t="str">
        <x:v>Process refund then original purchase.</x:v>
      </x:c>
      <x:c r="H22" s="50" t="str">
        <x:v>Final state is correct; no negative or duplicate totals.</x:v>
      </x:c>
      <x:c r="I22" s="51" t="str">
        <x:v>Not Run</x:v>
      </x:c>
      <x:c r="J22" s="51" t="str"/>
      <x:c r="K22" s="51" t="str"/>
      <x:c r="L22" s="51" t="str">
        <x:v>Event ordering</x:v>
      </x:c>
      <x:c r="M22" s="51"/>
    </x:row>
    <x:row r="23" ht="15" hidden="0" customHeight="1">
      <x:c r="A23" s="50" t="str">
        <x:v>TC-018</x:v>
      </x:c>
      <x:c r="B23" s="50" t="str">
        <x:v>FR-11</x:v>
      </x:c>
      <x:c r="C23" s="50" t="str">
        <x:v>Privacy</x:v>
      </x:c>
      <x:c r="D23" s="50" t="str">
        <x:v>P0</x:v>
      </x:c>
      <x:c r="E23" s="50" t="str">
        <x:v>Not-mine report protects immediately</x:v>
      </x:c>
      <x:c r="F23" s="50" t="str">
        <x:v>User can see a linked purchase they say is not theirs.</x:v>
      </x:c>
      <x:c r="G23" s="50" t="str">
        <x:v>Select Report issue &gt; This is not mine &gt; Submit.</x:v>
      </x:c>
      <x:c r="H23" s="50" t="str">
        <x:v>Detail is hidden/protected immediately and a support case is created.</x:v>
      </x:c>
      <x:c r="I23" s="51" t="str">
        <x:v>Not Run</x:v>
      </x:c>
      <x:c r="J23" s="51" t="str"/>
      <x:c r="K23" s="51" t="str"/>
      <x:c r="L23" s="51" t="str">
        <x:v>Correction</x:v>
      </x:c>
      <x:c r="M23" s="51"/>
    </x:row>
    <x:row r="24" ht="24" hidden="0" customHeight="1">
      <x:c r="A24" s="50" t="str">
        <x:v>TC-019</x:v>
      </x:c>
      <x:c r="B24" s="50" t="str">
        <x:v>FR-11</x:v>
      </x:c>
      <x:c r="C24" s="50" t="str">
        <x:v>Functional</x:v>
      </x:c>
      <x:c r="D24" s="50" t="str">
        <x:v>P1</x:v>
      </x:c>
      <x:c r="E24" s="50" t="str">
        <x:v>Incorrect item report</x:v>
      </x:c>
      <x:c r="F24" s="50" t="str">
        <x:v>Linked record contains a disputed line item.</x:v>
      </x:c>
      <x:c r="G24" s="50" t="str">
        <x:v>Submit Incorrect item with optional note.</x:v>
      </x:c>
      <x:c r="H24" s="50" t="str">
        <x:v>Case ID and protected status are shown; original transaction stays auditable.</x:v>
      </x:c>
      <x:c r="I24" s="51" t="str">
        <x:v>Not Run</x:v>
      </x:c>
      <x:c r="J24" s="51" t="str"/>
      <x:c r="K24" s="51" t="str"/>
      <x:c r="L24" s="51" t="str">
        <x:v>Correction</x:v>
      </x:c>
      <x:c r="M24" s="51"/>
    </x:row>
    <x:row r="25" ht="15" hidden="0" customHeight="1">
      <x:c r="A25" s="50" t="str">
        <x:v>TC-020</x:v>
      </x:c>
      <x:c r="B25" s="50" t="str">
        <x:v>FR-11</x:v>
      </x:c>
      <x:c r="C25" s="50" t="str">
        <x:v>Negative</x:v>
      </x:c>
      <x:c r="D25" s="50" t="str">
        <x:v>P1</x:v>
      </x:c>
      <x:c r="E25" s="50" t="str">
        <x:v>Issue submission retry</x:v>
      </x:c>
      <x:c r="F25" s="50" t="str">
        <x:v>Case service times out.</x:v>
      </x:c>
      <x:c r="G25" s="50" t="str">
        <x:v>Submit report during timeout.</x:v>
      </x:c>
      <x:c r="H25" s="50" t="str">
        <x:v>User receives retry state; no duplicate cases after retry.</x:v>
      </x:c>
      <x:c r="I25" s="51" t="str">
        <x:v>Not Run</x:v>
      </x:c>
      <x:c r="J25" s="51" t="str"/>
      <x:c r="K25" s="51" t="str"/>
      <x:c r="L25" s="51" t="str">
        <x:v>Resilience</x:v>
      </x:c>
      <x:c r="M25" s="51"/>
    </x:row>
    <x:row r="26" ht="24" hidden="0" customHeight="1">
      <x:c r="A26" s="50" t="str">
        <x:v>TC-021</x:v>
      </x:c>
      <x:c r="B26" s="50" t="str">
        <x:v>FR-12</x:v>
      </x:c>
      <x:c r="C26" s="50" t="str">
        <x:v>Security</x:v>
      </x:c>
      <x:c r="D26" s="50" t="str">
        <x:v>P0</x:v>
      </x:c>
      <x:c r="E26" s="50" t="str">
        <x:v>Direct URL unauthorized access denied</x:v>
      </x:c>
      <x:c r="F26" s="50" t="str">
        <x:v>Account A and Account B exist; purchase belongs to A.</x:v>
      </x:c>
      <x:c r="G26" s="50" t="str">
        <x:v>As B, open A's detail URL/API resource ID.</x:v>
      </x:c>
      <x:c r="H26" s="50" t="str">
        <x:v>Access denied, no sensitive fields returned, attempt logged.</x:v>
      </x:c>
      <x:c r="I26" s="51" t="str">
        <x:v>Not Run</x:v>
      </x:c>
      <x:c r="J26" s="51" t="str"/>
      <x:c r="K26" s="51" t="str"/>
      <x:c r="L26" s="51" t="str">
        <x:v>Broken access control</x:v>
      </x:c>
      <x:c r="M26" s="51"/>
    </x:row>
    <x:row r="27" ht="15" hidden="0" customHeight="1">
      <x:c r="A27" s="50" t="str">
        <x:v>TC-022</x:v>
      </x:c>
      <x:c r="B27" s="50" t="str">
        <x:v>FR-12</x:v>
      </x:c>
      <x:c r="C27" s="50" t="str">
        <x:v>Security</x:v>
      </x:c>
      <x:c r="D27" s="50" t="str">
        <x:v>P0</x:v>
      </x:c>
      <x:c r="E27" s="50" t="str">
        <x:v>Signed-out access denied</x:v>
      </x:c>
      <x:c r="F27" s="50" t="str">
        <x:v>A valid detail URL is known.</x:v>
      </x:c>
      <x:c r="G27" s="50" t="str">
        <x:v>Sign out and open the URL.</x:v>
      </x:c>
      <x:c r="H27" s="50" t="str">
        <x:v>Authentication is required; cached detail is not displayed.</x:v>
      </x:c>
      <x:c r="I27" s="51" t="str">
        <x:v>Not Run</x:v>
      </x:c>
      <x:c r="J27" s="51" t="str"/>
      <x:c r="K27" s="51" t="str"/>
      <x:c r="L27" s="51" t="str">
        <x:v>Session security</x:v>
      </x:c>
      <x:c r="M27" s="51"/>
    </x:row>
    <x:row r="28" ht="24" hidden="0" customHeight="1">
      <x:c r="A28" s="50" t="str">
        <x:v>TC-023</x:v>
      </x:c>
      <x:c r="B28" s="50" t="str">
        <x:v>FR-12</x:v>
      </x:c>
      <x:c r="C28" s="50" t="str">
        <x:v>Privacy</x:v>
      </x:c>
      <x:c r="D28" s="50" t="str">
        <x:v>P0</x:v>
      </x:c>
      <x:c r="E28" s="50" t="str">
        <x:v>Shared-device cache protection</x:v>
      </x:c>
      <x:c r="F28" s="50" t="str">
        <x:v>Account A views a purchase, signs out, then B signs in.</x:v>
      </x:c>
      <x:c r="G28" s="50" t="str">
        <x:v>Use back navigation and offline/cache states.</x:v>
      </x:c>
      <x:c r="H28" s="50" t="str">
        <x:v>A's transaction data is not visible to B.</x:v>
      </x:c>
      <x:c r="I28" s="51" t="str">
        <x:v>Not Run</x:v>
      </x:c>
      <x:c r="J28" s="51" t="str"/>
      <x:c r="K28" s="51" t="str"/>
      <x:c r="L28" s="51" t="str">
        <x:v>Local data</x:v>
      </x:c>
      <x:c r="M28" s="51"/>
    </x:row>
    <x:row r="29" ht="24" hidden="0" customHeight="1">
      <x:c r="A29" s="50" t="str">
        <x:v>TC-024</x:v>
      </x:c>
      <x:c r="B29" s="50" t="str">
        <x:v>FR-13</x:v>
      </x:c>
      <x:c r="C29" s="50" t="str">
        <x:v>Security</x:v>
      </x:c>
      <x:c r="D29" s="50" t="str">
        <x:v>P1</x:v>
      </x:c>
      <x:c r="E29" s="50" t="str">
        <x:v>Audit log coverage</x:v>
      </x:c>
      <x:c r="F29" s="50" t="str">
        <x:v>A purchase is linked, viewed, disputed and corrected.</x:v>
      </x:c>
      <x:c r="G29" s="50" t="str">
        <x:v>Inspect audit events.</x:v>
      </x:c>
      <x:c r="H29" s="50" t="str">
        <x:v>Actor, event, timestamp, record ID and outcome are captured without unnecessary medicine text.</x:v>
      </x:c>
      <x:c r="I29" s="51" t="str">
        <x:v>Not Run</x:v>
      </x:c>
      <x:c r="J29" s="51" t="str"/>
      <x:c r="K29" s="51" t="str"/>
      <x:c r="L29" s="51" t="str">
        <x:v>Auditability</x:v>
      </x:c>
      <x:c r="M29" s="51"/>
    </x:row>
    <x:row r="30" ht="24" hidden="0" customHeight="1">
      <x:c r="A30" s="50" t="str">
        <x:v>TC-025</x:v>
      </x:c>
      <x:c r="B30" s="50" t="str">
        <x:v>FR-14</x:v>
      </x:c>
      <x:c r="C30" s="50" t="str">
        <x:v>Functional</x:v>
      </x:c>
      <x:c r="D30" s="50" t="str">
        <x:v>P1</x:v>
      </x:c>
      <x:c r="E30" s="50" t="str">
        <x:v>Claim unmatched purchase</x:v>
      </x:c>
      <x:c r="F30" s="50" t="str">
        <x:v>Verified user has invoice number and store/date details.</x:v>
      </x:c>
      <x:c r="G30" s="50" t="str">
        <x:v>Submit claim with valid details.</x:v>
      </x:c>
      <x:c r="H30" s="50" t="str">
        <x:v>Claim enters protected verification; no detail is exposed until approved.</x:v>
      </x:c>
      <x:c r="I30" s="51" t="str">
        <x:v>Not Run</x:v>
      </x:c>
      <x:c r="J30" s="51" t="str"/>
      <x:c r="K30" s="51" t="str"/>
      <x:c r="L30" s="51" t="str">
        <x:v>Should scope</x:v>
      </x:c>
      <x:c r="M30" s="51"/>
    </x:row>
    <x:row r="31" ht="15" hidden="0" customHeight="1">
      <x:c r="A31" s="50" t="str">
        <x:v>TC-026</x:v>
      </x:c>
      <x:c r="B31" s="50" t="str">
        <x:v>FR-14</x:v>
      </x:c>
      <x:c r="C31" s="50" t="str">
        <x:v>Security</x:v>
      </x:c>
      <x:c r="D31" s="50" t="str">
        <x:v>P0</x:v>
      </x:c>
      <x:c r="E31" s="50" t="str">
        <x:v>Claim brute-force protection</x:v>
      </x:c>
      <x:c r="F31" s="50" t="str">
        <x:v>User submits repeated invalid invoice guesses.</x:v>
      </x:c>
      <x:c r="G31" s="50" t="str">
        <x:v>Attempt claims above threshold.</x:v>
      </x:c>
      <x:c r="H31" s="50" t="str">
        <x:v>Rate limit/challenge activates and attempts are logged.</x:v>
      </x:c>
      <x:c r="I31" s="51" t="str">
        <x:v>Not Run</x:v>
      </x:c>
      <x:c r="J31" s="51" t="str"/>
      <x:c r="K31" s="51" t="str"/>
      <x:c r="L31" s="51" t="str">
        <x:v>Abuse</x:v>
      </x:c>
      <x:c r="M31" s="51"/>
    </x:row>
    <x:row r="32" ht="15" hidden="0" customHeight="1">
      <x:c r="A32" s="50" t="str">
        <x:v>TC-027</x:v>
      </x:c>
      <x:c r="B32" s="50" t="str">
        <x:v>FR-01</x:v>
      </x:c>
      <x:c r="C32" s="50" t="str">
        <x:v>Integration</x:v>
      </x:c>
      <x:c r="D32" s="50" t="str">
        <x:v>P0</x:v>
      </x:c>
      <x:c r="E32" s="50" t="str">
        <x:v>Linking outage does not block checkout</x:v>
      </x:c>
      <x:c r="F32" s="50" t="str">
        <x:v>Linking/event service is unavailable.</x:v>
      </x:c>
      <x:c r="G32" s="50" t="str">
        <x:v>Complete store billing.</x:v>
      </x:c>
      <x:c r="H32" s="50" t="str">
        <x:v>Checkout completes; event is queued/reconciled later.</x:v>
      </x:c>
      <x:c r="I32" s="51" t="str">
        <x:v>Not Run</x:v>
      </x:c>
      <x:c r="J32" s="51" t="str"/>
      <x:c r="K32" s="51" t="str"/>
      <x:c r="L32" s="51" t="str">
        <x:v>Operational safety</x:v>
      </x:c>
      <x:c r="M32" s="51"/>
    </x:row>
    <x:row r="33" ht="15" hidden="0" customHeight="1">
      <x:c r="A33" s="50" t="str">
        <x:v>TC-028</x:v>
      </x:c>
      <x:c r="B33" s="50" t="str">
        <x:v>FR-01</x:v>
      </x:c>
      <x:c r="C33" s="50" t="str">
        <x:v>Integration</x:v>
      </x:c>
      <x:c r="D33" s="50" t="str">
        <x:v>P1</x:v>
      </x:c>
      <x:c r="E33" s="50" t="str">
        <x:v>Delayed event appears once</x:v>
      </x:c>
      <x:c r="F33" s="50" t="str">
        <x:v>Event is delayed and retried after recovery.</x:v>
      </x:c>
      <x:c r="G33" s="50" t="str">
        <x:v>Restore service and process queue.</x:v>
      </x:c>
      <x:c r="H33" s="50" t="str">
        <x:v>Purchase appears once with correct original timestamp.</x:v>
      </x:c>
      <x:c r="I33" s="51" t="str">
        <x:v>Not Run</x:v>
      </x:c>
      <x:c r="J33" s="51" t="str"/>
      <x:c r="K33" s="51" t="str"/>
      <x:c r="L33" s="51" t="str">
        <x:v>Recovery</x:v>
      </x:c>
      <x:c r="M33" s="51"/>
    </x:row>
    <x:row r="34" ht="24" hidden="0" customHeight="1">
      <x:c r="A34" s="50" t="str">
        <x:v>TC-029</x:v>
      </x:c>
      <x:c r="B34" s="50" t="str">
        <x:v>FR-06</x:v>
      </x:c>
      <x:c r="C34" s="50" t="str">
        <x:v>Accessibility</x:v>
      </x:c>
      <x:c r="D34" s="50" t="str">
        <x:v>P1</x:v>
      </x:c>
      <x:c r="E34" s="50" t="str">
        <x:v>Keyboard navigation</x:v>
      </x:c>
      <x:c r="F34" s="50" t="str">
        <x:v>Desktop/mobile accessibility test environment available.</x:v>
      </x:c>
      <x:c r="G34" s="50" t="str">
        <x:v>Navigate all six MVP screens using keyboard/switch controls.</x:v>
      </x:c>
      <x:c r="H34" s="50" t="str">
        <x:v>Logical focus order, visible focus, and all controls operable.</x:v>
      </x:c>
      <x:c r="I34" s="51" t="str">
        <x:v>Not Run</x:v>
      </x:c>
      <x:c r="J34" s="51" t="str"/>
      <x:c r="K34" s="51" t="str"/>
      <x:c r="L34" s="51" t="str">
        <x:v>WCAG-oriented</x:v>
      </x:c>
      <x:c r="M34" s="51"/>
    </x:row>
    <x:row r="35" ht="15" hidden="0" customHeight="1">
      <x:c r="A35" s="50" t="str">
        <x:v>TC-030</x:v>
      </x:c>
      <x:c r="B35" s="50" t="str">
        <x:v>FR-06</x:v>
      </x:c>
      <x:c r="C35" s="50" t="str">
        <x:v>Accessibility</x:v>
      </x:c>
      <x:c r="D35" s="50" t="str">
        <x:v>P1</x:v>
      </x:c>
      <x:c r="E35" s="50" t="str">
        <x:v>Screen-reader labels</x:v>
      </x:c>
      <x:c r="F35" s="50" t="str">
        <x:v>Screen reader enabled.</x:v>
      </x:c>
      <x:c r="G35" s="50" t="str">
        <x:v>Read history cards, amounts, statuses and action buttons.</x:v>
      </x:c>
      <x:c r="H35" s="50" t="str">
        <x:v>Labels are meaningful; status is not conveyed by color alone.</x:v>
      </x:c>
      <x:c r="I35" s="51" t="str">
        <x:v>Not Run</x:v>
      </x:c>
      <x:c r="J35" s="51" t="str"/>
      <x:c r="K35" s="51" t="str"/>
      <x:c r="L35" s="51" t="str">
        <x:v>Accessibility</x:v>
      </x:c>
      <x:c r="M35" s="51"/>
    </x:row>
    <x:row r="36" ht="15" hidden="0" customHeight="1">
      <x:c r="A36" s="50" t="str">
        <x:v>TC-031</x:v>
      </x:c>
      <x:c r="B36" s="50" t="str">
        <x:v>FR-06</x:v>
      </x:c>
      <x:c r="C36" s="50" t="str">
        <x:v>Accessibility</x:v>
      </x:c>
      <x:c r="D36" s="50" t="str">
        <x:v>P2</x:v>
      </x:c>
      <x:c r="E36" s="50" t="str">
        <x:v>Text scaling and reflow</x:v>
      </x:c>
      <x:c r="F36" s="50" t="str">
        <x:v>Set text size to 200% / narrow viewport.</x:v>
      </x:c>
      <x:c r="G36" s="50" t="str">
        <x:v>Open each screen and interact.</x:v>
      </x:c>
      <x:c r="H36" s="50" t="str">
        <x:v>No clipped critical content or horizontal scrolling for core flow.</x:v>
      </x:c>
      <x:c r="I36" s="51" t="str">
        <x:v>Not Run</x:v>
      </x:c>
      <x:c r="J36" s="51" t="str"/>
      <x:c r="K36" s="51" t="str"/>
      <x:c r="L36" s="51" t="str">
        <x:v>Accessibility</x:v>
      </x:c>
      <x:c r="M36" s="51"/>
    </x:row>
    <x:row r="37" ht="15" hidden="0" customHeight="1">
      <x:c r="A37" s="50" t="str">
        <x:v>TC-032</x:v>
      </x:c>
      <x:c r="B37" s="50" t="str">
        <x:v>FR-11</x:v>
      </x:c>
      <x:c r="C37" s="50" t="str">
        <x:v>Privacy</x:v>
      </x:c>
      <x:c r="D37" s="50" t="str">
        <x:v>P0</x:v>
      </x:c>
      <x:c r="E37" s="50" t="str">
        <x:v>Free-text note excluded from analytics</x:v>
      </x:c>
      <x:c r="F37" s="50" t="str">
        <x:v>Issue form includes optional sensitive note.</x:v>
      </x:c>
      <x:c r="G37" s="50" t="str">
        <x:v>Submit note and inspect analytics payload/logs.</x:v>
      </x:c>
      <x:c r="H37" s="50" t="str">
        <x:v>Free text and medicine names are not sent to general analytics.</x:v>
      </x:c>
      <x:c r="I37" s="51" t="str">
        <x:v>Not Run</x:v>
      </x:c>
      <x:c r="J37" s="51" t="str"/>
      <x:c r="K37" s="51" t="str"/>
      <x:c r="L37" s="51" t="str">
        <x:v>Data minimization</x:v>
      </x:c>
      <x:c r="M37" s="51"/>
    </x:row>
    <x:row r="38" ht="15" hidden="0" customHeight="1">
      <x:c r="A38" s="50" t="str">
        <x:v>TC-033</x:v>
      </x:c>
      <x:c r="B38" s="50" t="str">
        <x:v>FR-06</x:v>
      </x:c>
      <x:c r="C38" s="50" t="str">
        <x:v>Analytics</x:v>
      </x:c>
      <x:c r="D38" s="50" t="str">
        <x:v>P1</x:v>
      </x:c>
      <x:c r="E38" s="50" t="str">
        <x:v>History-view event schema</x:v>
      </x:c>
      <x:c r="F38" s="50" t="str">
        <x:v>Analytics test console available.</x:v>
      </x:c>
      <x:c r="G38" s="50" t="str">
        <x:v>Open Purchase History.</x:v>
      </x:c>
      <x:c r="H38" s="50" t="str">
        <x:v>Approved event fires once with non-sensitive identifiers only.</x:v>
      </x:c>
      <x:c r="I38" s="51" t="str">
        <x:v>Not Run</x:v>
      </x:c>
      <x:c r="J38" s="51" t="str"/>
      <x:c r="K38" s="51" t="str"/>
      <x:c r="L38" s="51" t="str">
        <x:v>Measurement</x:v>
      </x:c>
      <x:c r="M38" s="51"/>
    </x:row>
    <x:row r="39" ht="15" hidden="0" customHeight="1">
      <x:c r="A39" s="50" t="str">
        <x:v>TC-034</x:v>
      </x:c>
      <x:c r="B39" s="50" t="str">
        <x:v>FR-09</x:v>
      </x:c>
      <x:c r="C39" s="50" t="str">
        <x:v>Analytics</x:v>
      </x:c>
      <x:c r="D39" s="50" t="str">
        <x:v>P1</x:v>
      </x:c>
      <x:c r="E39" s="50" t="str">
        <x:v>Savings explanation event</x:v>
      </x:c>
      <x:c r="F39" s="50" t="str">
        <x:v>A record has approved savings.</x:v>
      </x:c>
      <x:c r="G39" s="50" t="str">
        <x:v>Open explanation.</x:v>
      </x:c>
      <x:c r="H39" s="50" t="str">
        <x:v>Event captures method/version, not item names or contact details.</x:v>
      </x:c>
      <x:c r="I39" s="51" t="str">
        <x:v>Not Run</x:v>
      </x:c>
      <x:c r="J39" s="51" t="str"/>
      <x:c r="K39" s="51" t="str"/>
      <x:c r="L39" s="51" t="str">
        <x:v>Measurement</x:v>
      </x:c>
      <x:c r="M39" s="51"/>
    </x:row>
    <x:row r="40" ht="24" hidden="0" customHeight="1">
      <x:c r="A40" s="50" t="str">
        <x:v>TC-035</x:v>
      </x:c>
      <x:c r="B40" s="50" t="str">
        <x:v>FR-11</x:v>
      </x:c>
      <x:c r="C40" s="50" t="str">
        <x:v>Operations</x:v>
      </x:c>
      <x:c r="D40" s="50" t="str">
        <x:v>P1</x:v>
      </x:c>
      <x:c r="E40" s="50" t="str">
        <x:v>Support case contains actionable context</x:v>
      </x:c>
      <x:c r="F40" s="50" t="str">
        <x:v>User submits a dispute.</x:v>
      </x:c>
      <x:c r="G40" s="50" t="str">
        <x:v>Inspect support queue.</x:v>
      </x:c>
      <x:c r="H40" s="50" t="str">
        <x:v>Case includes case ID, record ID, reason, state and timestamps; excludes unnecessary sensitive fields.</x:v>
      </x:c>
      <x:c r="I40" s="51" t="str">
        <x:v>Not Run</x:v>
      </x:c>
      <x:c r="J40" s="51" t="str"/>
      <x:c r="K40" s="51" t="str"/>
      <x:c r="L40" s="51" t="str">
        <x:v>Support</x:v>
      </x:c>
      <x:c r="M40" s="51"/>
    </x:row>
    <x:row r="41" ht="24" hidden="0" customHeight="1">
      <x:c r="A41" s="50" t="str">
        <x:v>TC-036</x:v>
      </x:c>
      <x:c r="B41" s="50" t="str">
        <x:v>FR-11</x:v>
      </x:c>
      <x:c r="C41" s="50" t="str">
        <x:v>Operations</x:v>
      </x:c>
      <x:c r="D41" s="50" t="str">
        <x:v>P1</x:v>
      </x:c>
      <x:c r="E41" s="50" t="str">
        <x:v>Case status visible</x:v>
      </x:c>
      <x:c r="F41" s="50" t="str">
        <x:v>A support case changes from Received to Resolved.</x:v>
      </x:c>
      <x:c r="G41" s="50" t="str">
        <x:v>Update case state and refresh app.</x:v>
      </x:c>
      <x:c r="H41" s="50" t="str">
        <x:v>User sees current status and next step without exposing internal notes.</x:v>
      </x:c>
      <x:c r="I41" s="51" t="str">
        <x:v>Not Run</x:v>
      </x:c>
      <x:c r="J41" s="51" t="str"/>
      <x:c r="K41" s="51" t="str"/>
      <x:c r="L41" s="51" t="str">
        <x:v>Support</x:v>
      </x:c>
      <x:c r="M41" s="51"/>
    </x:row>
    <x:row r="42" ht="15" hidden="0" customHeight="1">
      <x:c r="A42" s="50" t="str">
        <x:v>TC-037</x:v>
      </x:c>
      <x:c r="B42" s="50" t="str">
        <x:v>FR-09</x:v>
      </x:c>
      <x:c r="C42" s="50" t="str">
        <x:v>Regression</x:v>
      </x:c>
      <x:c r="D42" s="50" t="str">
        <x:v>P1</x:v>
      </x:c>
      <x:c r="E42" s="50" t="str">
        <x:v>Currency rounding</x:v>
      </x:c>
      <x:c r="F42" s="50" t="str">
        <x:v>Transactions contain paise and multiple items.</x:v>
      </x:c>
      <x:c r="G42" s="50" t="str">
        <x:v>Compare line, subtotal, discount, paid and savings calculations.</x:v>
      </x:c>
      <x:c r="H42" s="50" t="str">
        <x:v>Displayed values reconcile using one documented rounding rule.</x:v>
      </x:c>
      <x:c r="I42" s="51" t="str">
        <x:v>Not Run</x:v>
      </x:c>
      <x:c r="J42" s="51" t="str"/>
      <x:c r="K42" s="51" t="str"/>
      <x:c r="L42" s="51" t="str">
        <x:v>Financial display</x:v>
      </x:c>
      <x:c r="M42" s="51"/>
    </x:row>
    <x:row r="43" ht="24" hidden="0" customHeight="1">
      <x:c r="A43" s="50" t="str">
        <x:v>TC-038</x:v>
      </x:c>
      <x:c r="B43" s="50" t="str">
        <x:v>FR-04</x:v>
      </x:c>
      <x:c r="C43" s="50" t="str">
        <x:v>Security</x:v>
      </x:c>
      <x:c r="D43" s="50" t="str">
        <x:v>P0</x:v>
      </x:c>
      <x:c r="E43" s="50" t="str">
        <x:v>Phone normalization collision</x:v>
      </x:c>
      <x:c r="F43" s="50" t="str">
        <x:v>Identifiers differ by country code/format and could collide.</x:v>
      </x:c>
      <x:c r="G43" s="50" t="str">
        <x:v>Process both transactions.</x:v>
      </x:c>
      <x:c r="H43" s="50" t="str">
        <x:v>Normalization does not cross-link accounts; ambiguous cases fail closed.</x:v>
      </x:c>
      <x:c r="I43" s="51" t="str">
        <x:v>Not Run</x:v>
      </x:c>
      <x:c r="J43" s="51" t="str"/>
      <x:c r="K43" s="51" t="str"/>
      <x:c r="L43" s="51" t="str">
        <x:v>Identity</x:v>
      </x:c>
      <x:c r="M43" s="51"/>
    </x:row>
    <x:row r="44" ht="15" hidden="0" customHeight="1">
      <x:c r="A44" s="50" t="str">
        <x:v>TC-039</x:v>
      </x:c>
      <x:c r="B44" s="50" t="str">
        <x:v>FR-07</x:v>
      </x:c>
      <x:c r="C44" s="50" t="str">
        <x:v>Privacy</x:v>
      </x:c>
      <x:c r="D44" s="50" t="str">
        <x:v>P1</x:v>
      </x:c>
      <x:c r="E44" s="50" t="str">
        <x:v>Notification content minimized</x:v>
      </x:c>
      <x:c r="F44" s="50" t="str">
        <x:v>A link-ready notification is triggered.</x:v>
      </x:c>
      <x:c r="G44" s="50" t="str">
        <x:v>Inspect lock-screen notification.</x:v>
      </x:c>
      <x:c r="H44" s="50" t="str">
        <x:v>No medicine names or sensitive purchase detail appear by default.</x:v>
      </x:c>
      <x:c r="I44" s="51" t="str">
        <x:v>Not Run</x:v>
      </x:c>
      <x:c r="J44" s="51" t="str"/>
      <x:c r="K44" s="51" t="str"/>
      <x:c r="L44" s="51" t="str">
        <x:v>Notification</x:v>
      </x:c>
      <x:c r="M44" s="51"/>
    </x:row>
    <x:row r="45" ht="15" hidden="0" customHeight="1">
      <x:c r="A45" s="52" t="str">
        <x:v>TC-040</x:v>
      </x:c>
      <x:c r="B45" s="52" t="str">
        <x:v>FR-16</x:v>
      </x:c>
      <x:c r="C45" s="52" t="str">
        <x:v>Privacy</x:v>
      </x:c>
      <x:c r="D45" s="52" t="str">
        <x:v>P0</x:v>
      </x:c>
      <x:c r="E45" s="52" t="str">
        <x:v>Transaction does not imply reminder consent</x:v>
      </x:c>
      <x:c r="F45" s="52" t="str">
        <x:v>User has a linked purchase but no reminder consent.</x:v>
      </x:c>
      <x:c r="G45" s="52" t="str">
        <x:v>Process transaction and inspect preference/events.</x:v>
      </x:c>
      <x:c r="H45" s="52" t="str">
        <x:v>No refill reminder is scheduled; consent remains unchanged.</x:v>
      </x:c>
      <x:c r="I45" s="53" t="str">
        <x:v>Not Run</x:v>
      </x:c>
      <x:c r="J45" s="53" t="str"/>
      <x:c r="K45" s="53" t="str"/>
      <x:c r="L45" s="53" t="str">
        <x:v>Future-scope guardrail</x:v>
      </x:c>
      <x:c r="M45" s="53"/>
    </x:row>
  </x:sheetData>
  <x:mergeCells>
    <x:mergeCell ref="A1:M1"/>
    <x:mergeCell ref="A2:M2"/>
    <x:mergeCell ref="A4:M4"/>
  </x:mergeCells>
  <x:conditionalFormatting sqref="I6:I205">
    <x:cfRule type="cellIs" dxfId="0" priority="1" operator="equal">
      <x:formula>"Passed"</x:formula>
    </x:cfRule>
    <x:cfRule type="cellIs" dxfId="1" priority="2" operator="equal">
      <x:formula>"Failed"</x:formula>
    </x:cfRule>
    <x:cfRule type="cellIs" dxfId="2" priority="3" operator="equal">
      <x:formula>"Blocked"</x:formula>
    </x:cfRule>
  </x:conditionalFormatting>
  <x:dataValidations count="3">
    <x:dataValidation type="list" sqref="C6:C205">
      <x:formula1>"Functional,Negative,Integration,Security,Privacy,Accessibility,Analytics,Operations,Regression"</x:formula1>
    </x:dataValidation>
    <x:dataValidation type="list" sqref="D6:D205">
      <x:formula1>"P0,P1,P2,P3"</x:formula1>
    </x:dataValidation>
    <x:dataValidation type="list" sqref="I6:I205">
      <x:formula1>"Not Run,Passed,Failed,Blocked,Not Applicable"</x:formula1>
    </x:dataValidation>
  </x:dataValidations>
  <x:pageMargins left="0.7" right="0.7" top="0.75" bottom="0.75" header="0.3" footer="0.3"/>
  <x:tableParts count="1">
    <x:tablePart xmlns:r="http://schemas.openxmlformats.org/officeDocument/2006/relationships" r:id="R2f015df3619544e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16" hidden="0" customWidth="1"/>
    <x:col min="3" max="3" width="34" hidden="0" customWidth="1"/>
    <x:col min="4" max="4" width="15" hidden="0" customWidth="1"/>
    <x:col min="5" max="5" width="12" hidden="0" customWidth="1"/>
    <x:col min="6" max="6" width="16" hidden="0" customWidth="1"/>
    <x:col min="7" max="7" width="12" hidden="0" customWidth="1"/>
    <x:col min="8" max="8" width="40" hidden="0" customWidth="1"/>
    <x:col min="9" max="9" width="40" hidden="0" customWidth="1"/>
    <x:col min="10" max="10" width="40" hidden="0" customWidth="1"/>
    <x:col min="11" max="11" width="42" hidden="0" customWidth="1"/>
    <x:col min="12" max="12" width="16" hidden="0" customWidth="1"/>
    <x:col min="13" max="13" width="18" hidden="0" customWidth="1"/>
    <x:col min="14" max="14" width="36" hidden="0" customWidth="1"/>
  </x:cols>
  <x:sheetData>
    <x:row r="1" ht="34" customHeight="1">
      <x:c r="A1" s="40" t="str">
        <x:v>Sample Bug Reports</x:v>
      </x:c>
      <x:c r="B1" s="40" t="str">
        <x:v>Sample Bug Reports</x:v>
      </x:c>
      <x:c r="C1" s="40" t="str">
        <x:v>Sample Bug Reports</x:v>
      </x:c>
      <x:c r="D1" s="40" t="str">
        <x:v>Sample Bug Reports</x:v>
      </x:c>
      <x:c r="E1" s="40" t="str">
        <x:v>Sample Bug Reports</x:v>
      </x:c>
      <x:c r="F1" s="40" t="str">
        <x:v>Sample Bug Reports</x:v>
      </x:c>
      <x:c r="G1" s="40" t="str">
        <x:v>Sample Bug Reports</x:v>
      </x:c>
      <x:c r="H1" s="40" t="str">
        <x:v>Sample Bug Reports</x:v>
      </x:c>
      <x:c r="I1" s="40" t="str">
        <x:v>Sample Bug Reports</x:v>
      </x:c>
      <x:c r="J1" s="40" t="str">
        <x:v>Sample Bug Reports</x:v>
      </x:c>
      <x:c r="K1" s="40" t="str">
        <x:v>Sample Bug Reports</x:v>
      </x:c>
      <x:c r="L1" s="40" t="str">
        <x:v>Sample Bug Reports</x:v>
      </x:c>
      <x:c r="M1" s="40" t="str">
        <x:v>Sample Bug Reports</x:v>
      </x:c>
      <x:c r="N1" s="40" t="str">
        <x:v>Sample Bug Reports</x:v>
      </x:c>
    </x:row>
    <x:row r="2" ht="28" customHeight="1">
      <x:c r="A2" s="41" t="str">
        <x:v>Designed defect scenarios for demonstrating reporting quality • not claims about Medkart production</x:v>
      </x:c>
      <x:c r="B2" s="41" t="str">
        <x:v>Designed defect scenarios for demonstrating reporting quality • not claims about Medkart production</x:v>
      </x:c>
      <x:c r="C2" s="41" t="str">
        <x:v>Designed defect scenarios for demonstrating reporting quality • not claims about Medkart production</x:v>
      </x:c>
      <x:c r="D2" s="41" t="str">
        <x:v>Designed defect scenarios for demonstrating reporting quality • not claims about Medkart production</x:v>
      </x:c>
      <x:c r="E2" s="41" t="str">
        <x:v>Designed defect scenarios for demonstrating reporting quality • not claims about Medkart production</x:v>
      </x:c>
      <x:c r="F2" s="41" t="str">
        <x:v>Designed defect scenarios for demonstrating reporting quality • not claims about Medkart production</x:v>
      </x:c>
      <x:c r="G2" s="41" t="str">
        <x:v>Designed defect scenarios for demonstrating reporting quality • not claims about Medkart production</x:v>
      </x:c>
      <x:c r="H2" s="41" t="str">
        <x:v>Designed defect scenarios for demonstrating reporting quality • not claims about Medkart production</x:v>
      </x:c>
      <x:c r="I2" s="41" t="str">
        <x:v>Designed defect scenarios for demonstrating reporting quality • not claims about Medkart production</x:v>
      </x:c>
      <x:c r="J2" s="41" t="str">
        <x:v>Designed defect scenarios for demonstrating reporting quality • not claims about Medkart production</x:v>
      </x:c>
      <x:c r="K2" s="41" t="str">
        <x:v>Designed defect scenarios for demonstrating reporting quality • not claims about Medkart production</x:v>
      </x:c>
      <x:c r="L2" s="41" t="str">
        <x:v>Designed defect scenarios for demonstrating reporting quality • not claims about Medkart production</x:v>
      </x:c>
      <x:c r="M2" s="41" t="str">
        <x:v>Designed defect scenarios for demonstrating reporting quality • not claims about Medkart production</x:v>
      </x:c>
      <x:c r="N2" s="41" t="str">
        <x:v>Designed defect scenarios for demonstrating reporting quality • not claims about Medkart production</x:v>
      </x:c>
    </x:row>
    <x:row r="3">
      <x:c r="A3" s="42"/>
      <x:c r="B3" s="42"/>
      <x:c r="C3" s="42"/>
      <x:c r="D3" s="42"/>
      <x:c r="E3" s="42"/>
      <x:c r="F3" s="42"/>
      <x:c r="G3" s="42"/>
      <x:c r="H3" s="42"/>
      <x:c r="I3" s="42"/>
      <x:c r="J3" s="42"/>
      <x:c r="K3" s="42"/>
      <x:c r="L3" s="42"/>
      <x:c r="M3" s="42"/>
      <x:c r="N3" s="42"/>
    </x:row>
    <x:row r="4">
      <x:c r="A4" s="54" t="str">
        <x:v>Promote a row from Draft only after reproducing it in an authorized environment. Do not enter customer contact details or medicine names.</x:v>
      </x:c>
      <x:c r="B4" s="54" t="str">
        <x:v>Promote a row from Draft only after reproducing it in an authorized environment. Do not enter customer contact details or medicine names.</x:v>
      </x:c>
      <x:c r="C4" s="54" t="str">
        <x:v>Promote a row from Draft only after reproducing it in an authorized environment. Do not enter customer contact details or medicine names.</x:v>
      </x:c>
      <x:c r="D4" s="54" t="str">
        <x:v>Promote a row from Draft only after reproducing it in an authorized environment. Do not enter customer contact details or medicine names.</x:v>
      </x:c>
      <x:c r="E4" s="54" t="str">
        <x:v>Promote a row from Draft only after reproducing it in an authorized environment. Do not enter customer contact details or medicine names.</x:v>
      </x:c>
      <x:c r="F4" s="54" t="str">
        <x:v>Promote a row from Draft only after reproducing it in an authorized environment. Do not enter customer contact details or medicine names.</x:v>
      </x:c>
      <x:c r="G4" s="54" t="str">
        <x:v>Promote a row from Draft only after reproducing it in an authorized environment. Do not enter customer contact details or medicine names.</x:v>
      </x:c>
      <x:c r="H4" s="54" t="str">
        <x:v>Promote a row from Draft only after reproducing it in an authorized environment. Do not enter customer contact details or medicine names.</x:v>
      </x:c>
      <x:c r="I4" s="54" t="str">
        <x:v>Promote a row from Draft only after reproducing it in an authorized environment. Do not enter customer contact details or medicine names.</x:v>
      </x:c>
      <x:c r="J4" s="54" t="str">
        <x:v>Promote a row from Draft only after reproducing it in an authorized environment. Do not enter customer contact details or medicine names.</x:v>
      </x:c>
      <x:c r="K4" s="54" t="str">
        <x:v>Promote a row from Draft only after reproducing it in an authorized environment. Do not enter customer contact details or medicine names.</x:v>
      </x:c>
      <x:c r="L4" s="54" t="str">
        <x:v>Promote a row from Draft only after reproducing it in an authorized environment. Do not enter customer contact details or medicine names.</x:v>
      </x:c>
      <x:c r="M4" s="54" t="str">
        <x:v>Promote a row from Draft only after reproducing it in an authorized environment. Do not enter customer contact details or medicine names.</x:v>
      </x:c>
      <x:c r="N4" s="54" t="str">
        <x:v>Promote a row from Draft only after reproducing it in an authorized environment. Do not enter customer contact details or medicine names.</x:v>
      </x:c>
    </x:row>
    <x:row r="5" ht="15" hidden="0" customHeight="1">
      <x:c r="A5" s="43" t="str">
        <x:v>Bug ID</x:v>
      </x:c>
      <x:c r="B5" s="43" t="str">
        <x:v>Evidence Type</x:v>
      </x:c>
      <x:c r="C5" s="43" t="str">
        <x:v>Summary</x:v>
      </x:c>
      <x:c r="D5" s="43" t="str">
        <x:v>Category</x:v>
      </x:c>
      <x:c r="E5" s="43" t="str">
        <x:v>Severity</x:v>
      </x:c>
      <x:c r="F5" s="43" t="str">
        <x:v>Status</x:v>
      </x:c>
      <x:c r="G5" s="43" t="str">
        <x:v>Test ID</x:v>
      </x:c>
      <x:c r="H5" s="43" t="str">
        <x:v>Steps to Reproduce</x:v>
      </x:c>
      <x:c r="I5" s="43" t="str">
        <x:v>Expected</x:v>
      </x:c>
      <x:c r="J5" s="43" t="str">
        <x:v>Observed (sample)</x:v>
      </x:c>
      <x:c r="K5" s="43" t="str">
        <x:v>Suggested Direction</x:v>
      </x:c>
      <x:c r="L5" s="43" t="str">
        <x:v>Owner</x:v>
      </x:c>
      <x:c r="M5" s="43" t="str">
        <x:v>Target</x:v>
      </x:c>
      <x:c r="N5" s="43" t="str">
        <x:v>Notes</x:v>
      </x:c>
    </x:row>
    <x:row r="6" ht="36" hidden="0" customHeight="1">
      <x:c r="A6" s="50" t="str">
        <x:v>BUG-001</x:v>
      </x:c>
      <x:c r="B6" s="50" t="str">
        <x:v>Sample scenario</x:v>
      </x:c>
      <x:c r="C6" s="50" t="str">
        <x:v>Ambiguous phone match briefly exposes a transaction card</x:v>
      </x:c>
      <x:c r="D6" s="50" t="str">
        <x:v>Privacy</x:v>
      </x:c>
      <x:c r="E6" s="50" t="str">
        <x:v>Critical</x:v>
      </x:c>
      <x:c r="F6" s="51" t="str">
        <x:v>Draft</x:v>
      </x:c>
      <x:c r="G6" s="51" t="str">
        <x:v>TC-005</x:v>
      </x:c>
      <x:c r="H6" s="51" t="str">
        <x:v>1. Create ambiguous account match.
2. Process transaction.
3. Open candidate account before resolution.</x:v>
      </x:c>
      <x:c r="I6" s="51" t="str">
        <x:v>No transaction metadata is visible until a unique authorized match exists.</x:v>
      </x:c>
      <x:c r="J6" s="51" t="str">
        <x:v>A card flashes with store/date/amount before protected state replaces it.</x:v>
      </x:c>
      <x:c r="K6" s="51" t="str">
        <x:v>Fail closed before rendering; add authorization check at API and UI cache boundary.</x:v>
      </x:c>
      <x:c r="L6" s="51" t="str">
        <x:v>Unassigned</x:v>
      </x:c>
      <x:c r="M6" s="51" t="str">
        <x:v>Release blocker</x:v>
      </x:c>
      <x:c r="N6" s="51" t="str">
        <x:v>Designed for interview exercise; not observed in production.</x:v>
      </x:c>
    </x:row>
    <x:row r="7" ht="24" hidden="0" customHeight="1">
      <x:c r="A7" s="50" t="str">
        <x:v>BUG-002</x:v>
      </x:c>
      <x:c r="B7" s="50" t="str">
        <x:v>Sample scenario</x:v>
      </x:c>
      <x:c r="C7" s="50" t="str">
        <x:v>Duplicate event creates two history records and double-counts savings</x:v>
      </x:c>
      <x:c r="D7" s="50" t="str">
        <x:v>Data integrity</x:v>
      </x:c>
      <x:c r="E7" s="50" t="str">
        <x:v>High</x:v>
      </x:c>
      <x:c r="F7" s="51" t="str">
        <x:v>Draft</x:v>
      </x:c>
      <x:c r="G7" s="51" t="str">
        <x:v>TC-002</x:v>
      </x:c>
      <x:c r="H7" s="51" t="str">
        <x:v>Replay the same transaction event ID.</x:v>
      </x:c>
      <x:c r="I7" s="51" t="str">
        <x:v>One idempotent record and one savings contribution.</x:v>
      </x:c>
      <x:c r="J7" s="51" t="str">
        <x:v>Two records appear and savings total doubles.</x:v>
      </x:c>
      <x:c r="K7" s="51" t="str">
        <x:v>Enforce unique event/transaction key and idempotent consumer.</x:v>
      </x:c>
      <x:c r="L7" s="51" t="str">
        <x:v>Unassigned</x:v>
      </x:c>
      <x:c r="M7" s="51" t="str">
        <x:v>Release blocker</x:v>
      </x:c>
      <x:c r="N7" s="51" t="str">
        <x:v>Hypothetical defect.</x:v>
      </x:c>
    </x:row>
    <x:row r="8" ht="24" hidden="0" customHeight="1">
      <x:c r="A8" s="50" t="str">
        <x:v>BUG-003</x:v>
      </x:c>
      <x:c r="B8" s="50" t="str">
        <x:v>Sample scenario</x:v>
      </x:c>
      <x:c r="C8" s="50" t="str">
        <x:v>Refund updates paid total but leaves original savings</x:v>
      </x:c>
      <x:c r="D8" s="50" t="str">
        <x:v>Calculation</x:v>
      </x:c>
      <x:c r="E8" s="50" t="str">
        <x:v>High</x:v>
      </x:c>
      <x:c r="F8" s="51" t="str">
        <x:v>Draft</x:v>
      </x:c>
      <x:c r="G8" s="51" t="str">
        <x:v>TC-015</x:v>
      </x:c>
      <x:c r="H8" s="51" t="str">
        <x:v>Link purchase, then publish full refund.</x:v>
      </x:c>
      <x:c r="I8" s="51" t="str">
        <x:v>Returned state and savings reconciled to approved rule.</x:v>
      </x:c>
      <x:c r="J8" s="51" t="str">
        <x:v>Paid total is updated; savings remains in summary.</x:v>
      </x:c>
      <x:c r="K8" s="51" t="str">
        <x:v>Recompute materialized savings on lifecycle events.</x:v>
      </x:c>
      <x:c r="L8" s="51" t="str">
        <x:v>Unassigned</x:v>
      </x:c>
      <x:c r="M8" s="51" t="str">
        <x:v>Release blocker</x:v>
      </x:c>
      <x:c r="N8" s="51" t="str">
        <x:v>Hypothetical defect.</x:v>
      </x:c>
    </x:row>
    <x:row r="9" ht="24" hidden="0" customHeight="1">
      <x:c r="A9" s="50" t="str">
        <x:v>BUG-004</x:v>
      </x:c>
      <x:c r="B9" s="50" t="str">
        <x:v>Sample scenario</x:v>
      </x:c>
      <x:c r="C9" s="50" t="str">
        <x:v>Not-mine report leaves detail visible after submission</x:v>
      </x:c>
      <x:c r="D9" s="50" t="str">
        <x:v>Privacy</x:v>
      </x:c>
      <x:c r="E9" s="50" t="str">
        <x:v>High</x:v>
      </x:c>
      <x:c r="F9" s="51" t="str">
        <x:v>Draft</x:v>
      </x:c>
      <x:c r="G9" s="51" t="str">
        <x:v>TC-018</x:v>
      </x:c>
      <x:c r="H9" s="51" t="str">
        <x:v>Submit This is not mine and return to detail.</x:v>
      </x:c>
      <x:c r="I9" s="51" t="str">
        <x:v>Detail is protected immediately.</x:v>
      </x:c>
      <x:c r="J9" s="51" t="str">
        <x:v>Line items remain visible until support closes case.</x:v>
      </x:c>
      <x:c r="K9" s="51" t="str">
        <x:v>Apply immediate protection state and purge local cache.</x:v>
      </x:c>
      <x:c r="L9" s="51" t="str">
        <x:v>Unassigned</x:v>
      </x:c>
      <x:c r="M9" s="51" t="str">
        <x:v>Release blocker</x:v>
      </x:c>
      <x:c r="N9" s="51" t="str">
        <x:v>Hypothetical defect.</x:v>
      </x:c>
    </x:row>
    <x:row r="10" ht="15" hidden="0" customHeight="1">
      <x:c r="A10" s="50" t="str">
        <x:v>BUG-005</x:v>
      </x:c>
      <x:c r="B10" s="50" t="str">
        <x:v>Sample scenario</x:v>
      </x:c>
      <x:c r="C10" s="50" t="str">
        <x:v>Invoice failure has no retry or support path</x:v>
      </x:c>
      <x:c r="D10" s="50" t="str">
        <x:v>Resilience</x:v>
      </x:c>
      <x:c r="E10" s="50" t="str">
        <x:v>Medium</x:v>
      </x:c>
      <x:c r="F10" s="51" t="str">
        <x:v>Draft</x:v>
      </x:c>
      <x:c r="G10" s="51" t="str">
        <x:v>TC-011</x:v>
      </x:c>
      <x:c r="H10" s="51" t="str">
        <x:v>Force invoice service error; tap View invoice.</x:v>
      </x:c>
      <x:c r="I10" s="51" t="str">
        <x:v>Retry and support options appear.</x:v>
      </x:c>
      <x:c r="J10" s="51" t="str">
        <x:v>Generic error page with no recovery.</x:v>
      </x:c>
      <x:c r="K10" s="51" t="str">
        <x:v>Add recoverable empty/error state.</x:v>
      </x:c>
      <x:c r="L10" s="51" t="str">
        <x:v>Unassigned</x:v>
      </x:c>
      <x:c r="M10" s="51" t="str">
        <x:v>Before pilot</x:v>
      </x:c>
      <x:c r="N10" s="51" t="str">
        <x:v>Hypothetical defect.</x:v>
      </x:c>
    </x:row>
    <x:row r="11" ht="15" hidden="0" customHeight="1">
      <x:c r="A11" s="50" t="str">
        <x:v>BUG-006</x:v>
      </x:c>
      <x:c r="B11" s="50" t="str">
        <x:v>Sample scenario</x:v>
      </x:c>
      <x:c r="C11" s="50" t="str">
        <x:v>Issue status is conveyed only by color</x:v>
      </x:c>
      <x:c r="D11" s="50" t="str">
        <x:v>Accessibility</x:v>
      </x:c>
      <x:c r="E11" s="50" t="str">
        <x:v>Medium</x:v>
      </x:c>
      <x:c r="F11" s="51" t="str">
        <x:v>Draft</x:v>
      </x:c>
      <x:c r="G11" s="51" t="str">
        <x:v>TC-030</x:v>
      </x:c>
      <x:c r="H11" s="51" t="str">
        <x:v>Use grayscale or screen reader on status screen.</x:v>
      </x:c>
      <x:c r="I11" s="51" t="str">
        <x:v>Text/icon/accessible name communicates state.</x:v>
      </x:c>
      <x:c r="J11" s="51" t="str">
        <x:v>Only chip color changes.</x:v>
      </x:c>
      <x:c r="K11" s="51" t="str">
        <x:v>Add text status and semantic label.</x:v>
      </x:c>
      <x:c r="L11" s="51" t="str">
        <x:v>Unassigned</x:v>
      </x:c>
      <x:c r="M11" s="51" t="str">
        <x:v>Before pilot</x:v>
      </x:c>
      <x:c r="N11" s="51" t="str">
        <x:v>Hypothetical defect.</x:v>
      </x:c>
    </x:row>
    <x:row r="12" ht="15" hidden="0" customHeight="1">
      <x:c r="A12" s="50" t="str">
        <x:v>BUG-007</x:v>
      </x:c>
      <x:c r="B12" s="50" t="str">
        <x:v>Sample scenario</x:v>
      </x:c>
      <x:c r="C12" s="50" t="str">
        <x:v>Issue free-text note appears in analytics payload</x:v>
      </x:c>
      <x:c r="D12" s="50" t="str">
        <x:v>Privacy</x:v>
      </x:c>
      <x:c r="E12" s="50" t="str">
        <x:v>High</x:v>
      </x:c>
      <x:c r="F12" s="51" t="str">
        <x:v>Draft</x:v>
      </x:c>
      <x:c r="G12" s="51" t="str">
        <x:v>TC-032</x:v>
      </x:c>
      <x:c r="H12" s="51" t="str">
        <x:v>Submit issue note and inspect event payload.</x:v>
      </x:c>
      <x:c r="I12" s="51" t="str">
        <x:v>No free text or medicine detail in analytics.</x:v>
      </x:c>
      <x:c r="J12" s="51" t="str">
        <x:v>Full note is included in generic analytics.</x:v>
      </x:c>
      <x:c r="K12" s="51" t="str">
        <x:v>Allowlist analytics fields; redact at client and collector.</x:v>
      </x:c>
      <x:c r="L12" s="51" t="str">
        <x:v>Unassigned</x:v>
      </x:c>
      <x:c r="M12" s="51" t="str">
        <x:v>Release blocker</x:v>
      </x:c>
      <x:c r="N12" s="51" t="str">
        <x:v>Hypothetical defect.</x:v>
      </x:c>
    </x:row>
    <x:row r="13" ht="15" hidden="0" customHeight="1">
      <x:c r="A13" s="52" t="str">
        <x:v>BUG-008</x:v>
      </x:c>
      <x:c r="B13" s="52" t="str">
        <x:v>Sample scenario</x:v>
      </x:c>
      <x:c r="C13" s="52" t="str">
        <x:v>Expired claim gives no safe support route</x:v>
      </x:c>
      <x:c r="D13" s="52" t="str">
        <x:v>UX</x:v>
      </x:c>
      <x:c r="E13" s="52" t="str">
        <x:v>Medium</x:v>
      </x:c>
      <x:c r="F13" s="53" t="str">
        <x:v>Draft</x:v>
      </x:c>
      <x:c r="G13" s="53" t="str">
        <x:v>TC-025</x:v>
      </x:c>
      <x:c r="H13" s="53" t="str">
        <x:v>Open an expired unmatched-purchase claim.</x:v>
      </x:c>
      <x:c r="I13" s="53" t="str">
        <x:v>Clear reason and verified support route.</x:v>
      </x:c>
      <x:c r="J13" s="53" t="str">
        <x:v>Dead-end expired message.</x:v>
      </x:c>
      <x:c r="K13" s="53" t="str">
        <x:v>Add safe restart/support action without revealing record data.</x:v>
      </x:c>
      <x:c r="L13" s="53" t="str">
        <x:v>Unassigned</x:v>
      </x:c>
      <x:c r="M13" s="53" t="str">
        <x:v>Before pilot</x:v>
      </x:c>
      <x:c r="N13" s="53" t="str">
        <x:v>Hypothetical defect.</x:v>
      </x:c>
    </x:row>
  </x:sheetData>
  <x:mergeCells>
    <x:mergeCell ref="A1:N1"/>
    <x:mergeCell ref="A2:N2"/>
    <x:mergeCell ref="A4:N4"/>
  </x:mergeCells>
  <x:conditionalFormatting sqref="E6:E105">
    <x:cfRule type="cellIs" dxfId="3" priority="1" operator="equal">
      <x:formula>"Critical"</x:formula>
    </x:cfRule>
  </x:conditionalFormatting>
  <x:dataValidations count="2">
    <x:dataValidation type="list" sqref="E6:E105">
      <x:formula1>"Critical,High,Medium,Low"</x:formula1>
    </x:dataValidation>
    <x:dataValidation type="list" sqref="F6:F105">
      <x:formula1>"Draft,Open,In Progress,Ready for Retest,Closed,Deferred"</x:formula1>
    </x:dataValidation>
  </x:dataValidations>
  <x:pageMargins left="0.7" right="0.7" top="0.75" bottom="0.75" header="0.3" footer="0.3"/>
  <x:tableParts count="1">
    <x:tablePart xmlns:r="http://schemas.openxmlformats.org/officeDocument/2006/relationships" r:id="Rbc186d4c78474655"/>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2" hidden="0" customWidth="1"/>
    <x:col min="2" max="2" width="18" hidden="0" customWidth="1"/>
    <x:col min="3" max="3" width="9" hidden="0" customWidth="1"/>
    <x:col min="4" max="4" width="45" hidden="0" customWidth="1"/>
    <x:col min="5" max="5" width="18" hidden="0" customWidth="1"/>
    <x:col min="6" max="6" width="22" hidden="0" customWidth="1"/>
    <x:col min="7" max="7" width="28" hidden="0" customWidth="1"/>
    <x:col min="8" max="8" width="18" hidden="0" customWidth="1"/>
  </x:cols>
  <x:sheetData>
    <x:row r="1" ht="34" customHeight="1">
      <x:c r="A1" s="40" t="str">
        <x:v>Pilot Release Checklist</x:v>
      </x:c>
      <x:c r="B1" s="40" t="str">
        <x:v>Pilot Release Checklist</x:v>
      </x:c>
      <x:c r="C1" s="40" t="str">
        <x:v>Pilot Release Checklist</x:v>
      </x:c>
      <x:c r="D1" s="40" t="str">
        <x:v>Pilot Release Checklist</x:v>
      </x:c>
      <x:c r="E1" s="40" t="str">
        <x:v>Pilot Release Checklist</x:v>
      </x:c>
      <x:c r="F1" s="40" t="str">
        <x:v>Pilot Release Checklist</x:v>
      </x:c>
      <x:c r="G1" s="40" t="str">
        <x:v>Pilot Release Checklist</x:v>
      </x:c>
      <x:c r="H1" s="40" t="str">
        <x:v>Pilot Release Checklist</x:v>
      </x:c>
    </x:row>
    <x:row r="2" ht="28" customHeight="1">
      <x:c r="A2" s="41" t="str">
        <x:v>Evidence-based go/no-go preparation for a controlled pilot</x:v>
      </x:c>
      <x:c r="B2" s="41" t="str">
        <x:v>Evidence-based go/no-go preparation for a controlled pilot</x:v>
      </x:c>
      <x:c r="C2" s="41" t="str">
        <x:v>Evidence-based go/no-go preparation for a controlled pilot</x:v>
      </x:c>
      <x:c r="D2" s="41" t="str">
        <x:v>Evidence-based go/no-go preparation for a controlled pilot</x:v>
      </x:c>
      <x:c r="E2" s="41" t="str">
        <x:v>Evidence-based go/no-go preparation for a controlled pilot</x:v>
      </x:c>
      <x:c r="F2" s="41" t="str">
        <x:v>Evidence-based go/no-go preparation for a controlled pilot</x:v>
      </x:c>
      <x:c r="G2" s="41" t="str">
        <x:v>Evidence-based go/no-go preparation for a controlled pilot</x:v>
      </x:c>
      <x:c r="H2" s="41" t="str">
        <x:v>Evidence-based go/no-go preparation for a controlled pilot</x:v>
      </x:c>
    </x:row>
    <x:row r="3">
      <x:c r="A3" s="42"/>
      <x:c r="B3" s="42"/>
      <x:c r="C3" s="42"/>
      <x:c r="D3" s="42"/>
      <x:c r="E3" s="42"/>
      <x:c r="F3" s="42"/>
      <x:c r="G3" s="42"/>
      <x:c r="H3" s="42"/>
    </x:row>
    <x:row r="4">
      <x:c r="A4" s="55" t="str">
        <x:v>P0 controls are release gates. Every completed item should point to evidence or a recorded decision.</x:v>
      </x:c>
      <x:c r="B4" s="55" t="str">
        <x:v>P0 controls are release gates. Every completed item should point to evidence or a recorded decision.</x:v>
      </x:c>
      <x:c r="C4" s="55" t="str">
        <x:v>P0 controls are release gates. Every completed item should point to evidence or a recorded decision.</x:v>
      </x:c>
      <x:c r="D4" s="55" t="str">
        <x:v>P0 controls are release gates. Every completed item should point to evidence or a recorded decision.</x:v>
      </x:c>
      <x:c r="E4" s="55" t="str">
        <x:v>P0 controls are release gates. Every completed item should point to evidence or a recorded decision.</x:v>
      </x:c>
      <x:c r="F4" s="55" t="str">
        <x:v>P0 controls are release gates. Every completed item should point to evidence or a recorded decision.</x:v>
      </x:c>
      <x:c r="G4" s="55" t="str">
        <x:v>P0 controls are release gates. Every completed item should point to evidence or a recorded decision.</x:v>
      </x:c>
      <x:c r="H4" s="55" t="str">
        <x:v>P0 controls are release gates. Every completed item should point to evidence or a recorded decision.</x:v>
      </x:c>
    </x:row>
    <x:row r="5" ht="15" hidden="0" customHeight="1">
      <x:c r="A5" s="43" t="str">
        <x:v>ID</x:v>
      </x:c>
      <x:c r="B5" s="43" t="str">
        <x:v>Area</x:v>
      </x:c>
      <x:c r="C5" s="43" t="str">
        <x:v>Priority</x:v>
      </x:c>
      <x:c r="D5" s="43" t="str">
        <x:v>Control</x:v>
      </x:c>
      <x:c r="E5" s="43" t="str">
        <x:v>Status</x:v>
      </x:c>
      <x:c r="F5" s="43" t="str">
        <x:v>Owner</x:v>
      </x:c>
      <x:c r="G5" s="43" t="str">
        <x:v>Evidence / Link</x:v>
      </x:c>
      <x:c r="H5" s="43" t="str">
        <x:v>Gate</x:v>
      </x:c>
    </x:row>
    <x:row r="6" ht="15" hidden="0" customHeight="1">
      <x:c r="A6" s="50" t="str">
        <x:v>REL-001</x:v>
      </x:c>
      <x:c r="B6" s="50" t="str">
        <x:v>Product</x:v>
      </x:c>
      <x:c r="C6" s="50" t="str">
        <x:v>P0</x:v>
      </x:c>
      <x:c r="D6" s="50" t="str">
        <x:v>PRD scope and acceptance criteria approved</x:v>
      </x:c>
      <x:c r="E6" s="51" t="str">
        <x:v>Not Started</x:v>
      </x:c>
      <x:c r="F6" s="51" t="str">
        <x:v>Product Manager</x:v>
      </x:c>
      <x:c r="G6" s="51" t="str">
        <x:v>Link to approval</x:v>
      </x:c>
      <x:c r="H6" s="50" t="str">
        <x:v>Release blocker</x:v>
      </x:c>
    </x:row>
    <x:row r="7" ht="15" hidden="0" customHeight="1">
      <x:c r="A7" s="50" t="str">
        <x:v>REL-002</x:v>
      </x:c>
      <x:c r="B7" s="50" t="str">
        <x:v>QA</x:v>
      </x:c>
      <x:c r="C7" s="50" t="str">
        <x:v>P0</x:v>
      </x:c>
      <x:c r="D7" s="50" t="str">
        <x:v>All P0 test cases passed</x:v>
      </x:c>
      <x:c r="E7" s="51" t="str">
        <x:v>Not Started</x:v>
      </x:c>
      <x:c r="F7" s="51" t="str">
        <x:v>QA Owner</x:v>
      </x:c>
      <x:c r="G7" s="51" t="str">
        <x:v>Dashboard evidence</x:v>
      </x:c>
      <x:c r="H7" s="50" t="str">
        <x:v>Release blocker</x:v>
      </x:c>
    </x:row>
    <x:row r="8" ht="15" hidden="0" customHeight="1">
      <x:c r="A8" s="50" t="str">
        <x:v>REL-003</x:v>
      </x:c>
      <x:c r="B8" s="50" t="str">
        <x:v>QA</x:v>
      </x:c>
      <x:c r="C8" s="50" t="str">
        <x:v>P0</x:v>
      </x:c>
      <x:c r="D8" s="50" t="str">
        <x:v>No open Critical or High privacy/security bugs</x:v>
      </x:c>
      <x:c r="E8" s="51" t="str">
        <x:v>Not Started</x:v>
      </x:c>
      <x:c r="F8" s="51" t="str">
        <x:v>QA + Security</x:v>
      </x:c>
      <x:c r="G8" s="51" t="str">
        <x:v>Bug export</x:v>
      </x:c>
      <x:c r="H8" s="50" t="str">
        <x:v>Release blocker</x:v>
      </x:c>
    </x:row>
    <x:row r="9" ht="15" hidden="0" customHeight="1">
      <x:c r="A9" s="50" t="str">
        <x:v>REL-004</x:v>
      </x:c>
      <x:c r="B9" s="50" t="str">
        <x:v>Security/Privacy</x:v>
      </x:c>
      <x:c r="C9" s="50" t="str">
        <x:v>P0</x:v>
      </x:c>
      <x:c r="D9" s="50" t="str">
        <x:v>Authorization and fail-closed identity review completed</x:v>
      </x:c>
      <x:c r="E9" s="51" t="str">
        <x:v>Not Started</x:v>
      </x:c>
      <x:c r="F9" s="51" t="str">
        <x:v>Security/Privacy</x:v>
      </x:c>
      <x:c r="G9" s="51" t="str">
        <x:v>Review record</x:v>
      </x:c>
      <x:c r="H9" s="50" t="str">
        <x:v>Release blocker</x:v>
      </x:c>
    </x:row>
    <x:row r="10" ht="15" hidden="0" customHeight="1">
      <x:c r="A10" s="50" t="str">
        <x:v>REL-005</x:v>
      </x:c>
      <x:c r="B10" s="50" t="str">
        <x:v>Security/Privacy</x:v>
      </x:c>
      <x:c r="C10" s="50" t="str">
        <x:v>P0</x:v>
      </x:c>
      <x:c r="D10" s="50" t="str">
        <x:v>Analytics payload data-minimization review completed</x:v>
      </x:c>
      <x:c r="E10" s="51" t="str">
        <x:v>Not Started</x:v>
      </x:c>
      <x:c r="F10" s="51" t="str">
        <x:v>Privacy</x:v>
      </x:c>
      <x:c r="G10" s="51" t="str">
        <x:v>Schema approval</x:v>
      </x:c>
      <x:c r="H10" s="50" t="str">
        <x:v>Release blocker</x:v>
      </x:c>
    </x:row>
    <x:row r="11" ht="15" hidden="0" customHeight="1">
      <x:c r="A11" s="50" t="str">
        <x:v>REL-006</x:v>
      </x:c>
      <x:c r="B11" s="50" t="str">
        <x:v>Engineering</x:v>
      </x:c>
      <x:c r="C11" s="50" t="str">
        <x:v>P0</x:v>
      </x:c>
      <x:c r="D11" s="50" t="str">
        <x:v>Idempotency and event replay verified</x:v>
      </x:c>
      <x:c r="E11" s="51" t="str">
        <x:v>Not Started</x:v>
      </x:c>
      <x:c r="F11" s="51" t="str">
        <x:v>Engineering</x:v>
      </x:c>
      <x:c r="G11" s="51" t="str">
        <x:v>Replay results</x:v>
      </x:c>
      <x:c r="H11" s="50" t="str">
        <x:v>Release blocker</x:v>
      </x:c>
    </x:row>
    <x:row r="12" ht="15" hidden="0" customHeight="1">
      <x:c r="A12" s="50" t="str">
        <x:v>REL-007</x:v>
      </x:c>
      <x:c r="B12" s="50" t="str">
        <x:v>Engineering</x:v>
      </x:c>
      <x:c r="C12" s="50" t="str">
        <x:v>P0</x:v>
      </x:c>
      <x:c r="D12" s="50" t="str">
        <x:v>Checkout independence and recovery queue verified</x:v>
      </x:c>
      <x:c r="E12" s="51" t="str">
        <x:v>Not Started</x:v>
      </x:c>
      <x:c r="F12" s="51" t="str">
        <x:v>Engineering</x:v>
      </x:c>
      <x:c r="G12" s="51" t="str">
        <x:v>Outage test</x:v>
      </x:c>
      <x:c r="H12" s="50" t="str">
        <x:v>Release blocker</x:v>
      </x:c>
    </x:row>
    <x:row r="13" ht="15" hidden="0" customHeight="1">
      <x:c r="A13" s="50" t="str">
        <x:v>REL-008</x:v>
      </x:c>
      <x:c r="B13" s="50" t="str">
        <x:v>Data</x:v>
      </x:c>
      <x:c r="C13" s="50" t="str">
        <x:v>P1</x:v>
      </x:c>
      <x:c r="D13" s="50" t="str">
        <x:v>Savings comparator source and calculation version approved</x:v>
      </x:c>
      <x:c r="E13" s="51" t="str">
        <x:v>Not Started</x:v>
      </x:c>
      <x:c r="F13" s="51" t="str">
        <x:v>Product + Data</x:v>
      </x:c>
      <x:c r="G13" s="51" t="str">
        <x:v>Method note</x:v>
      </x:c>
      <x:c r="H13" s="50" t="str">
        <x:v>Release blocker</x:v>
      </x:c>
    </x:row>
    <x:row r="14" ht="15" hidden="0" customHeight="1">
      <x:c r="A14" s="50" t="str">
        <x:v>REL-009</x:v>
      </x:c>
      <x:c r="B14" s="50" t="str">
        <x:v>Operations</x:v>
      </x:c>
      <x:c r="C14" s="50" t="str">
        <x:v>P1</x:v>
      </x:c>
      <x:c r="D14" s="50" t="str">
        <x:v>Support SOP, ownership and escalation path ready</x:v>
      </x:c>
      <x:c r="E14" s="51" t="str">
        <x:v>Not Started</x:v>
      </x:c>
      <x:c r="F14" s="51" t="str">
        <x:v>Operations</x:v>
      </x:c>
      <x:c r="G14" s="51" t="str">
        <x:v>SOP link</x:v>
      </x:c>
      <x:c r="H14" s="50" t="str">
        <x:v>Before pilot</x:v>
      </x:c>
    </x:row>
    <x:row r="15" ht="15" hidden="0" customHeight="1">
      <x:c r="A15" s="50" t="str">
        <x:v>REL-010</x:v>
      </x:c>
      <x:c r="B15" s="50" t="str">
        <x:v>Operations</x:v>
      </x:c>
      <x:c r="C15" s="50" t="str">
        <x:v>P1</x:v>
      </x:c>
      <x:c r="D15" s="50" t="str">
        <x:v>Pilot stores and staff briefing confirmed</x:v>
      </x:c>
      <x:c r="E15" s="51" t="str">
        <x:v>Not Started</x:v>
      </x:c>
      <x:c r="F15" s="51" t="str">
        <x:v>Retail Ops</x:v>
      </x:c>
      <x:c r="G15" s="51" t="str">
        <x:v>Attendance</x:v>
      </x:c>
      <x:c r="H15" s="50" t="str">
        <x:v>Before pilot</x:v>
      </x:c>
    </x:row>
    <x:row r="16" ht="15" hidden="0" customHeight="1">
      <x:c r="A16" s="50" t="str">
        <x:v>REL-011</x:v>
      </x:c>
      <x:c r="B16" s="50" t="str">
        <x:v>Accessibility</x:v>
      </x:c>
      <x:c r="C16" s="50" t="str">
        <x:v>P1</x:v>
      </x:c>
      <x:c r="D16" s="50" t="str">
        <x:v>Keyboard, screen-reader and text-scaling checks passed</x:v>
      </x:c>
      <x:c r="E16" s="51" t="str">
        <x:v>Not Started</x:v>
      </x:c>
      <x:c r="F16" s="51" t="str">
        <x:v>QA</x:v>
      </x:c>
      <x:c r="G16" s="51" t="str">
        <x:v>Accessibility report</x:v>
      </x:c>
      <x:c r="H16" s="50" t="str">
        <x:v>Before pilot</x:v>
      </x:c>
    </x:row>
    <x:row r="17" ht="15" hidden="0" customHeight="1">
      <x:c r="A17" s="50" t="str">
        <x:v>REL-012</x:v>
      </x:c>
      <x:c r="B17" s="50" t="str">
        <x:v>Analytics</x:v>
      </x:c>
      <x:c r="C17" s="50" t="str">
        <x:v>P1</x:v>
      </x:c>
      <x:c r="D17" s="50" t="str">
        <x:v>Approved events validated in staging</x:v>
      </x:c>
      <x:c r="E17" s="51" t="str">
        <x:v>Not Started</x:v>
      </x:c>
      <x:c r="F17" s="51" t="str">
        <x:v>Analytics</x:v>
      </x:c>
      <x:c r="G17" s="51" t="str">
        <x:v>Event screenshots</x:v>
      </x:c>
      <x:c r="H17" s="50" t="str">
        <x:v>Before pilot</x:v>
      </x:c>
    </x:row>
    <x:row r="18" ht="15" hidden="0" customHeight="1">
      <x:c r="A18" s="50" t="str">
        <x:v>REL-013</x:v>
      </x:c>
      <x:c r="B18" s="50" t="str">
        <x:v>Documentation</x:v>
      </x:c>
      <x:c r="C18" s="50" t="str">
        <x:v>P1</x:v>
      </x:c>
      <x:c r="D18" s="50" t="str">
        <x:v>User guide and correction FAQ published</x:v>
      </x:c>
      <x:c r="E18" s="51" t="str">
        <x:v>Not Started</x:v>
      </x:c>
      <x:c r="F18" s="51" t="str">
        <x:v>Product Ops</x:v>
      </x:c>
      <x:c r="G18" s="51" t="str">
        <x:v>Document link</x:v>
      </x:c>
      <x:c r="H18" s="50" t="str">
        <x:v>Before pilot</x:v>
      </x:c>
    </x:row>
    <x:row r="19" ht="15" hidden="0" customHeight="1">
      <x:c r="A19" s="50" t="str">
        <x:v>REL-014</x:v>
      </x:c>
      <x:c r="B19" s="50" t="str">
        <x:v>Release</x:v>
      </x:c>
      <x:c r="C19" s="50" t="str">
        <x:v>P0</x:v>
      </x:c>
      <x:c r="D19" s="50" t="str">
        <x:v>Feature flag, pilot cohort and monitoring configured</x:v>
      </x:c>
      <x:c r="E19" s="51" t="str">
        <x:v>Not Started</x:v>
      </x:c>
      <x:c r="F19" s="51" t="str">
        <x:v>Release Owner</x:v>
      </x:c>
      <x:c r="G19" s="51" t="str">
        <x:v>Configuration</x:v>
      </x:c>
      <x:c r="H19" s="50" t="str">
        <x:v>Release blocker</x:v>
      </x:c>
    </x:row>
    <x:row r="20" ht="15" hidden="0" customHeight="1">
      <x:c r="A20" s="50" t="str">
        <x:v>REL-015</x:v>
      </x:c>
      <x:c r="B20" s="50" t="str">
        <x:v>Release</x:v>
      </x:c>
      <x:c r="C20" s="50" t="str">
        <x:v>P0</x:v>
      </x:c>
      <x:c r="D20" s="50" t="str">
        <x:v>Rollback trigger, owner and procedure rehearsed</x:v>
      </x:c>
      <x:c r="E20" s="51" t="str">
        <x:v>Not Started</x:v>
      </x:c>
      <x:c r="F20" s="51" t="str">
        <x:v>Release Owner</x:v>
      </x:c>
      <x:c r="G20" s="51" t="str">
        <x:v>Drill record</x:v>
      </x:c>
      <x:c r="H20" s="50" t="str">
        <x:v>Release blocker</x:v>
      </x:c>
    </x:row>
    <x:row r="21" ht="15" hidden="0" customHeight="1">
      <x:c r="A21" s="50" t="str">
        <x:v>REL-016</x:v>
      </x:c>
      <x:c r="B21" s="50" t="str">
        <x:v>Monitoring</x:v>
      </x:c>
      <x:c r="C21" s="50" t="str">
        <x:v>P1</x:v>
      </x:c>
      <x:c r="D21" s="50" t="str">
        <x:v>Privacy, match, duplicate and reconciliation alerts active</x:v>
      </x:c>
      <x:c r="E21" s="51" t="str">
        <x:v>Not Started</x:v>
      </x:c>
      <x:c r="F21" s="51" t="str">
        <x:v>Engineering</x:v>
      </x:c>
      <x:c r="G21" s="51" t="str">
        <x:v>Alert links</x:v>
      </x:c>
      <x:c r="H21" s="50" t="str">
        <x:v>Before pilot</x:v>
      </x:c>
    </x:row>
    <x:row r="22" ht="15" hidden="0" customHeight="1">
      <x:c r="A22" s="52" t="str">
        <x:v>REL-017</x:v>
      </x:c>
      <x:c r="B22" s="52" t="str">
        <x:v>Stakeholders</x:v>
      </x:c>
      <x:c r="C22" s="52" t="str">
        <x:v>P1</x:v>
      </x:c>
      <x:c r="D22" s="52" t="str">
        <x:v>Go/no-go review completed and decision recorded</x:v>
      </x:c>
      <x:c r="E22" s="53" t="str">
        <x:v>Not Started</x:v>
      </x:c>
      <x:c r="F22" s="53" t="str">
        <x:v>Product Manager</x:v>
      </x:c>
      <x:c r="G22" s="53" t="str">
        <x:v>Decision log</x:v>
      </x:c>
      <x:c r="H22" s="52" t="str">
        <x:v>Release blocker</x:v>
      </x:c>
    </x:row>
  </x:sheetData>
  <x:mergeCells>
    <x:mergeCell ref="A1:H1"/>
    <x:mergeCell ref="A2:H2"/>
    <x:mergeCell ref="A4:H4"/>
  </x:mergeCells>
  <x:conditionalFormatting sqref="E6:E105">
    <x:cfRule type="cellIs" dxfId="4" priority="1" operator="equal">
      <x:formula>"Complete"</x:formula>
    </x:cfRule>
    <x:cfRule type="cellIs" dxfId="5" priority="2" operator="equal">
      <x:formula>"Blocked"</x:formula>
    </x:cfRule>
  </x:conditionalFormatting>
  <x:dataValidations count="1">
    <x:dataValidation type="list" sqref="E6:E105">
      <x:formula1>"Not Started,In Progress,Complete,Blocked,Not Applicable"</x:formula1>
    </x:dataValidation>
  </x:dataValidations>
  <x:pageMargins left="0.7" right="0.7" top="0.75" bottom="0.75" header="0.3" footer="0.3"/>
  <x:tableParts count="1">
    <x:tablePart xmlns:r="http://schemas.openxmlformats.org/officeDocument/2006/relationships" r:id="R73436a7937974e5d"/>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2" hidden="0" customWidth="1"/>
    <x:col min="2" max="2" width="34" hidden="0" customWidth="1"/>
    <x:col min="3" max="3" width="45" hidden="0" customWidth="1"/>
    <x:col min="4" max="4" width="24" hidden="0" customWidth="1"/>
    <x:col min="5" max="5" width="10" hidden="0" customWidth="1"/>
    <x:col min="6" max="6" width="14" hidden="0" customWidth="1"/>
  </x:cols>
  <x:sheetData>
    <x:row r="1" ht="34" customHeight="1">
      <x:c r="A1" s="40" t="str">
        <x:v>Requirements Coverage Matrix</x:v>
      </x:c>
      <x:c r="B1" s="40" t="str">
        <x:v>Requirements Coverage Matrix</x:v>
      </x:c>
      <x:c r="C1" s="40" t="str">
        <x:v>Requirements Coverage Matrix</x:v>
      </x:c>
      <x:c r="D1" s="40" t="str">
        <x:v>Requirements Coverage Matrix</x:v>
      </x:c>
      <x:c r="E1" s="40" t="str">
        <x:v>Requirements Coverage Matrix</x:v>
      </x:c>
      <x:c r="F1" s="40" t="str">
        <x:v>Requirements Coverage Matrix</x:v>
      </x:c>
    </x:row>
    <x:row r="2" ht="28" customHeight="1">
      <x:c r="A2" s="41" t="str">
        <x:v>Traceability from PRD requirements to test cases and acceptance criteria</x:v>
      </x:c>
      <x:c r="B2" s="41" t="str">
        <x:v>Traceability from PRD requirements to test cases and acceptance criteria</x:v>
      </x:c>
      <x:c r="C2" s="41" t="str">
        <x:v>Traceability from PRD requirements to test cases and acceptance criteria</x:v>
      </x:c>
      <x:c r="D2" s="41" t="str">
        <x:v>Traceability from PRD requirements to test cases and acceptance criteria</x:v>
      </x:c>
      <x:c r="E2" s="41" t="str">
        <x:v>Traceability from PRD requirements to test cases and acceptance criteria</x:v>
      </x:c>
      <x:c r="F2" s="41" t="str">
        <x:v>Traceability from PRD requirements to test cases and acceptance criteria</x:v>
      </x:c>
    </x:row>
    <x:row r="3">
      <x:c r="A3" s="42"/>
      <x:c r="B3" s="42"/>
      <x:c r="C3" s="42"/>
      <x:c r="D3" s="42"/>
      <x:c r="E3" s="42"/>
      <x:c r="F3" s="42"/>
    </x:row>
    <x:row r="4">
      <x:c r="A4" s="42"/>
      <x:c r="B4" s="42"/>
      <x:c r="C4" s="42"/>
      <x:c r="D4" s="42"/>
      <x:c r="E4" s="42"/>
      <x:c r="F4" s="42"/>
    </x:row>
    <x:row r="5" ht="15" hidden="0" customHeight="1">
      <x:c r="A5" s="43" t="str">
        <x:v>Requirement</x:v>
      </x:c>
      <x:c r="B5" s="43" t="str">
        <x:v>Capability</x:v>
      </x:c>
      <x:c r="C5" s="43" t="str">
        <x:v>Test Cases</x:v>
      </x:c>
      <x:c r="D5" s="43" t="str">
        <x:v>Acceptance Criteria</x:v>
      </x:c>
      <x:c r="E5" s="43" t="str">
        <x:v>Priority</x:v>
      </x:c>
      <x:c r="F5" s="43" t="str">
        <x:v>Coverage</x:v>
      </x:c>
    </x:row>
    <x:row r="6" ht="15" hidden="0" customHeight="1">
      <x:c r="A6" s="50" t="str">
        <x:v>FR-01</x:v>
      </x:c>
      <x:c r="B6" s="50" t="str">
        <x:v>Transaction ingestion</x:v>
      </x:c>
      <x:c r="C6" s="50" t="str">
        <x:v>TC-001, TC-027, TC-028</x:v>
      </x:c>
      <x:c r="D6" s="50" t="str">
        <x:v>AC-01, AC-09</x:v>
      </x:c>
      <x:c r="E6" s="50" t="str">
        <x:v>P0</x:v>
      </x:c>
      <x:c r="F6" s="50" t="str">
        <x:v>Covered</x:v>
      </x:c>
    </x:row>
    <x:row r="7" ht="15" hidden="0" customHeight="1">
      <x:c r="A7" s="50" t="str">
        <x:v>FR-02</x:v>
      </x:c>
      <x:c r="B7" s="50" t="str">
        <x:v>Idempotency</x:v>
      </x:c>
      <x:c r="C7" s="50" t="str">
        <x:v>TC-002</x:v>
      </x:c>
      <x:c r="D7" s="50" t="str">
        <x:v>AC-02</x:v>
      </x:c>
      <x:c r="E7" s="50" t="str">
        <x:v>P0</x:v>
      </x:c>
      <x:c r="F7" s="50" t="str">
        <x:v>Covered</x:v>
      </x:c>
    </x:row>
    <x:row r="8" ht="15" hidden="0" customHeight="1">
      <x:c r="A8" s="50" t="str">
        <x:v>FR-03</x:v>
      </x:c>
      <x:c r="B8" s="50" t="str">
        <x:v>Eligibility</x:v>
      </x:c>
      <x:c r="C8" s="50" t="str">
        <x:v>TC-003</x:v>
      </x:c>
      <x:c r="D8" s="50" t="str">
        <x:v>AC-01</x:v>
      </x:c>
      <x:c r="E8" s="50" t="str">
        <x:v>P1</x:v>
      </x:c>
      <x:c r="F8" s="50" t="str">
        <x:v>Covered</x:v>
      </x:c>
    </x:row>
    <x:row r="9" ht="15" hidden="0" customHeight="1">
      <x:c r="A9" s="50" t="str">
        <x:v>FR-04</x:v>
      </x:c>
      <x:c r="B9" s="50" t="str">
        <x:v>Account match</x:v>
      </x:c>
      <x:c r="C9" s="50" t="str">
        <x:v>TC-004, TC-038</x:v>
      </x:c>
      <x:c r="D9" s="50" t="str">
        <x:v>AC-01</x:v>
      </x:c>
      <x:c r="E9" s="50" t="str">
        <x:v>P0</x:v>
      </x:c>
      <x:c r="F9" s="50" t="str">
        <x:v>Covered</x:v>
      </x:c>
    </x:row>
    <x:row r="10" ht="15" hidden="0" customHeight="1">
      <x:c r="A10" s="50" t="str">
        <x:v>FR-05</x:v>
      </x:c>
      <x:c r="B10" s="50" t="str">
        <x:v>Fail-closed match</x:v>
      </x:c>
      <x:c r="C10" s="50" t="str">
        <x:v>TC-005, TC-006</x:v>
      </x:c>
      <x:c r="D10" s="50" t="str">
        <x:v>AC-03</x:v>
      </x:c>
      <x:c r="E10" s="50" t="str">
        <x:v>P0</x:v>
      </x:c>
      <x:c r="F10" s="50" t="str">
        <x:v>Covered</x:v>
      </x:c>
    </x:row>
    <x:row r="11" ht="15" hidden="0" customHeight="1">
      <x:c r="A11" s="50" t="str">
        <x:v>FR-06</x:v>
      </x:c>
      <x:c r="B11" s="50" t="str">
        <x:v>History list</x:v>
      </x:c>
      <x:c r="C11" s="50" t="str">
        <x:v>TC-007, TC-008, TC-029, TC-030, TC-031, TC-033</x:v>
      </x:c>
      <x:c r="D11" s="50" t="str">
        <x:v>AC-01</x:v>
      </x:c>
      <x:c r="E11" s="50" t="str">
        <x:v>P1</x:v>
      </x:c>
      <x:c r="F11" s="50" t="str">
        <x:v>Covered</x:v>
      </x:c>
    </x:row>
    <x:row r="12" ht="15" hidden="0" customHeight="1">
      <x:c r="A12" s="50" t="str">
        <x:v>FR-07</x:v>
      </x:c>
      <x:c r="B12" s="50" t="str">
        <x:v>Purchase detail</x:v>
      </x:c>
      <x:c r="C12" s="50" t="str">
        <x:v>TC-009, TC-039</x:v>
      </x:c>
      <x:c r="D12" s="50" t="str">
        <x:v>AC-04</x:v>
      </x:c>
      <x:c r="E12" s="50" t="str">
        <x:v>P0</x:v>
      </x:c>
      <x:c r="F12" s="50" t="str">
        <x:v>Covered</x:v>
      </x:c>
    </x:row>
    <x:row r="13" ht="15" hidden="0" customHeight="1">
      <x:c r="A13" s="50" t="str">
        <x:v>FR-08</x:v>
      </x:c>
      <x:c r="B13" s="50" t="str">
        <x:v>Digital invoice</x:v>
      </x:c>
      <x:c r="C13" s="50" t="str">
        <x:v>TC-010, TC-011</x:v>
      </x:c>
      <x:c r="D13" s="50" t="str">
        <x:v>AC-04</x:v>
      </x:c>
      <x:c r="E13" s="50" t="str">
        <x:v>P1</x:v>
      </x:c>
      <x:c r="F13" s="50" t="str">
        <x:v>Covered</x:v>
      </x:c>
    </x:row>
    <x:row r="14" ht="15" hidden="0" customHeight="1">
      <x:c r="A14" s="50" t="str">
        <x:v>FR-09</x:v>
      </x:c>
      <x:c r="B14" s="50" t="str">
        <x:v>Savings explanation</x:v>
      </x:c>
      <x:c r="C14" s="50" t="str">
        <x:v>TC-012, TC-013, TC-014, TC-034, TC-037</x:v>
      </x:c>
      <x:c r="D14" s="50" t="str">
        <x:v>AC-05, AC-06</x:v>
      </x:c>
      <x:c r="E14" s="50" t="str">
        <x:v>P0</x:v>
      </x:c>
      <x:c r="F14" s="50" t="str">
        <x:v>Covered</x:v>
      </x:c>
    </x:row>
    <x:row r="15" ht="15" hidden="0" customHeight="1">
      <x:c r="A15" s="50" t="str">
        <x:v>FR-10</x:v>
      </x:c>
      <x:c r="B15" s="50" t="str">
        <x:v>Lifecycle states</x:v>
      </x:c>
      <x:c r="C15" s="50" t="str">
        <x:v>TC-015, TC-016, TC-017</x:v>
      </x:c>
      <x:c r="D15" s="50" t="str">
        <x:v>AC-07</x:v>
      </x:c>
      <x:c r="E15" s="50" t="str">
        <x:v>P0</x:v>
      </x:c>
      <x:c r="F15" s="50" t="str">
        <x:v>Covered</x:v>
      </x:c>
    </x:row>
    <x:row r="16" ht="15" hidden="0" customHeight="1">
      <x:c r="A16" s="50" t="str">
        <x:v>FR-11</x:v>
      </x:c>
      <x:c r="B16" s="50" t="str">
        <x:v>Correction handling</x:v>
      </x:c>
      <x:c r="C16" s="50" t="str">
        <x:v>TC-018, TC-019, TC-020, TC-032, TC-035, TC-036</x:v>
      </x:c>
      <x:c r="D16" s="50" t="str">
        <x:v>AC-08</x:v>
      </x:c>
      <x:c r="E16" s="50" t="str">
        <x:v>P0</x:v>
      </x:c>
      <x:c r="F16" s="50" t="str">
        <x:v>Covered</x:v>
      </x:c>
    </x:row>
    <x:row r="17" ht="15" hidden="0" customHeight="1">
      <x:c r="A17" s="50" t="str">
        <x:v>FR-12</x:v>
      </x:c>
      <x:c r="B17" s="50" t="str">
        <x:v>Access control</x:v>
      </x:c>
      <x:c r="C17" s="50" t="str">
        <x:v>TC-021, TC-022, TC-023</x:v>
      </x:c>
      <x:c r="D17" s="50" t="str">
        <x:v>AC-10</x:v>
      </x:c>
      <x:c r="E17" s="50" t="str">
        <x:v>P0</x:v>
      </x:c>
      <x:c r="F17" s="50" t="str">
        <x:v>Covered</x:v>
      </x:c>
    </x:row>
    <x:row r="18" ht="15" hidden="0" customHeight="1">
      <x:c r="A18" s="50" t="str">
        <x:v>FR-13</x:v>
      </x:c>
      <x:c r="B18" s="50" t="str">
        <x:v>Auditability</x:v>
      </x:c>
      <x:c r="C18" s="50" t="str">
        <x:v>TC-024</x:v>
      </x:c>
      <x:c r="D18" s="50" t="str">
        <x:v>AC-10</x:v>
      </x:c>
      <x:c r="E18" s="50" t="str">
        <x:v>P1</x:v>
      </x:c>
      <x:c r="F18" s="50" t="str">
        <x:v>Covered</x:v>
      </x:c>
    </x:row>
    <x:row r="19" ht="15" hidden="0" customHeight="1">
      <x:c r="A19" s="50" t="str">
        <x:v>FR-14</x:v>
      </x:c>
      <x:c r="B19" s="50" t="str">
        <x:v>Claim unmatched purchase</x:v>
      </x:c>
      <x:c r="C19" s="50" t="str">
        <x:v>TC-025, TC-026</x:v>
      </x:c>
      <x:c r="D19" s="50" t="str">
        <x:v>Should scope</x:v>
      </x:c>
      <x:c r="E19" s="50" t="str">
        <x:v>P1</x:v>
      </x:c>
      <x:c r="F19" s="50" t="str">
        <x:v>Covered</x:v>
      </x:c>
    </x:row>
    <x:row r="20" ht="15" hidden="0" customHeight="1">
      <x:c r="A20" s="52" t="str">
        <x:v>FR-16</x:v>
      </x:c>
      <x:c r="B20" s="52" t="str">
        <x:v>Reminder consent guardrail</x:v>
      </x:c>
      <x:c r="C20" s="52" t="str">
        <x:v>TC-040</x:v>
      </x:c>
      <x:c r="D20" s="52" t="str">
        <x:v>Future-scope guardrail</x:v>
      </x:c>
      <x:c r="E20" s="52" t="str">
        <x:v>P0</x:v>
      </x:c>
      <x:c r="F20" s="52" t="str">
        <x:v>Covered</x:v>
      </x:c>
    </x:row>
  </x:sheetData>
  <x:mergeCells>
    <x:mergeCell ref="A1:F1"/>
    <x:mergeCell ref="A2:F2"/>
  </x:mergeCells>
  <x:conditionalFormatting sqref="F6:F105">
    <x:cfRule type="cellIs" dxfId="6" priority="1" operator="equal">
      <x:formula>"Covered"</x:formula>
    </x:cfRule>
  </x:conditionalFormatting>
  <x:pageMargins left="0.7" right="0.7" top="0.75" bottom="0.75" header="0.3" footer="0.3"/>
  <x:tableParts count="1">
    <x:tablePart xmlns:r="http://schemas.openxmlformats.org/officeDocument/2006/relationships" r:id="Rd76f9850ec1a4d66"/>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2" hidden="0" customWidth="1"/>
    <x:col min="2" max="2" width="44" hidden="0" customWidth="1"/>
    <x:col min="3" max="3" width="58" hidden="0" customWidth="1"/>
  </x:cols>
  <x:sheetData>
    <x:row r="1" ht="34" customHeight="1">
      <x:c r="A1" s="40" t="str">
        <x:v>Workbook Guide &amp; Codebook</x:v>
      </x:c>
      <x:c r="B1" s="40" t="str">
        <x:v>Workbook Guide &amp; Codebook</x:v>
      </x:c>
      <x:c r="C1" s="40" t="str">
        <x:v>Workbook Guide &amp; Codebook</x:v>
      </x:c>
    </x:row>
    <x:row r="2" ht="28" customHeight="1">
      <x:c r="A2" s="41" t="str">
        <x:v>Interview-ready proof of QA thinking; execution evidence must be added only after authorized testing</x:v>
      </x:c>
      <x:c r="B2" s="41" t="str">
        <x:v>Interview-ready proof of QA thinking; execution evidence must be added only after authorized testing</x:v>
      </x:c>
      <x:c r="C2" s="41" t="str">
        <x:v>Interview-ready proof of QA thinking; execution evidence must be added only after authorized testing</x:v>
      </x:c>
    </x:row>
    <x:row r="3">
      <x:c r="A3" s="42"/>
      <x:c r="B3" s="42"/>
      <x:c r="C3" s="42"/>
    </x:row>
    <x:row r="4">
      <x:c r="A4" s="42"/>
      <x:c r="B4" s="42"/>
      <x:c r="C4" s="42"/>
    </x:row>
    <x:row r="5" ht="15" hidden="0" customHeight="1">
      <x:c r="A5" s="43" t="str">
        <x:v>Field / concept</x:v>
      </x:c>
      <x:c r="B5" s="43" t="str">
        <x:v>Meaning</x:v>
      </x:c>
      <x:c r="C5" s="43" t="str">
        <x:v>Use</x:v>
      </x:c>
    </x:row>
    <x:row r="6" ht="24" hidden="0" customHeight="1">
      <x:c r="A6" s="50" t="str">
        <x:v>Proposed exercise</x:v>
      </x:c>
      <x:c r="B6" s="50" t="str">
        <x:v>A self-initiated product case study based on limited store observation and stated assumptions.</x:v>
      </x:c>
      <x:c r="C6" s="50" t="str">
        <x:v>Say this clearly in the interview.</x:v>
      </x:c>
    </x:row>
    <x:row r="7" ht="15" hidden="0" customHeight="1">
      <x:c r="A7" s="50" t="str">
        <x:v>Not Run</x:v>
      </x:c>
      <x:c r="B7" s="50" t="str">
        <x:v>Test has been designed but not executed.</x:v>
      </x:c>
      <x:c r="C7" s="50" t="str">
        <x:v>Default status for all cases.</x:v>
      </x:c>
    </x:row>
    <x:row r="8" ht="24" hidden="0" customHeight="1">
      <x:c r="A8" s="50" t="str">
        <x:v>P0</x:v>
      </x:c>
      <x:c r="B8" s="50" t="str">
        <x:v>Failure could expose another user's data, break core records, misstate savings, or block safe rollout.</x:v>
      </x:c>
      <x:c r="C8" s="50" t="str">
        <x:v>Must pass before pilot.</x:v>
      </x:c>
    </x:row>
    <x:row r="9" ht="15" hidden="0" customHeight="1">
      <x:c r="A9" s="50" t="str">
        <x:v>P1</x:v>
      </x:c>
      <x:c r="B9" s="50" t="str">
        <x:v>Important behavior or operational control.</x:v>
      </x:c>
      <x:c r="C9" s="50" t="str">
        <x:v>Complete before or during tightly controlled pilot as approved.</x:v>
      </x:c>
    </x:row>
    <x:row r="10" ht="15" hidden="0" customHeight="1">
      <x:c r="A10" s="50" t="str">
        <x:v>Critical bug</x:v>
      </x:c>
      <x:c r="B10" s="50" t="str">
        <x:v>Severe privacy/security harm or unacceptable systemic exposure.</x:v>
      </x:c>
      <x:c r="C10" s="50" t="str">
        <x:v>Immediate no-go.</x:v>
      </x:c>
    </x:row>
    <x:row r="11" ht="24" hidden="0" customHeight="1">
      <x:c r="A11" s="50" t="str">
        <x:v>Sample scenario</x:v>
      </x:c>
      <x:c r="B11" s="50" t="str">
        <x:v>A deliberately written example defect, not an observed production issue.</x:v>
      </x:c>
      <x:c r="C11" s="50" t="str">
        <x:v>Demonstrates bug-report quality without fabricating evidence.</x:v>
      </x:c>
    </x:row>
    <x:row r="12" ht="15" hidden="0" customHeight="1">
      <x:c r="A12" s="50" t="str">
        <x:v>Evidence Link</x:v>
      </x:c>
      <x:c r="B12" s="50" t="str">
        <x:v>Authorized screenshot, log, test run, ticket or decision record.</x:v>
      </x:c>
      <x:c r="C12" s="50" t="str">
        <x:v>Never add real customer PII or medicine details.</x:v>
      </x:c>
    </x:row>
    <x:row r="13" ht="15" hidden="0" customHeight="1">
      <x:c r="A13" s="50" t="str">
        <x:v>Pass rate</x:v>
      </x:c>
      <x:c r="B13" s="50" t="str">
        <x:v>Passed ÷ (Passed + Failed). Blocked and Not Run are excluded.</x:v>
      </x:c>
      <x:c r="C13" s="50" t="str">
        <x:v>Use with counts; never alone.</x:v>
      </x:c>
    </x:row>
    <x:row r="14" ht="15" hidden="0" customHeight="1">
      <x:c r="A14" s="50" t="str">
        <x:v>Release recommendation</x:v>
      </x:c>
      <x:c r="B14" s="50" t="str">
        <x:v>Formula-based signal using test, bug and checklist state.</x:v>
      </x:c>
      <x:c r="C14" s="50" t="str">
        <x:v>Input to human go/no-go review, not an automatic decision.</x:v>
      </x:c>
    </x:row>
    <x:row r="15" ht="24" hidden="0" customHeight="1">
      <x:c r="A15" s="50" t="str">
        <x:v>Savings comparator</x:v>
      </x:c>
      <x:c r="B15" s="50" t="str">
        <x:v>Approved reference and calculation method used to explain savings.</x:v>
      </x:c>
      <x:c r="C15" s="50" t="str">
        <x:v>If unavailable, suppress the amount.</x:v>
      </x:c>
    </x:row>
    <x:row r="16" ht="24" hidden="0" customHeight="1">
      <x:c r="A16" s="50" t="str">
        <x:v>Fail closed</x:v>
      </x:c>
      <x:c r="B16" s="50" t="str">
        <x:v>When identity or authorization is uncertain, show no transaction detail.</x:v>
      </x:c>
      <x:c r="C16" s="50" t="str">
        <x:v>Core privacy design rule.</x:v>
      </x:c>
    </x:row>
    <x:row r="17" ht="15" hidden="0" customHeight="1">
      <x:c r="A17" s="50" t="str">
        <x:v>Reminder consent</x:v>
      </x:c>
      <x:c r="B17" s="50" t="str">
        <x:v>Explicit permission for reminders; never inferred from a purchase.</x:v>
      </x:c>
      <x:c r="C17" s="50" t="str">
        <x:v>Future-scope guardrail.</x:v>
      </x:c>
    </x:row>
    <x:row r="18" ht="24" hidden="0" customHeight="1">
      <x:c r="A18" s="52" t="str">
        <x:v>Suggested interview walkthrough</x:v>
      </x:c>
      <x:c r="B18" s="52" t="str">
        <x:v>Dashboard → one P0 privacy case → one sample bug → coverage → release checklist.</x:v>
      </x:c>
      <x:c r="C18" s="52" t="str">
        <x:v>Aim for 3–4 minutes, then invite questions.</x:v>
      </x:c>
    </x:row>
  </x:sheetData>
  <x:mergeCells>
    <x:mergeCell ref="A1:C1"/>
    <x:mergeCell ref="A2:C2"/>
  </x:mergeCells>
  <x:pageMargins left="0.7" right="0.7" top="0.75" bottom="0.75" header="0.3" footer="0.3"/>
</x:worksheet>
</file>